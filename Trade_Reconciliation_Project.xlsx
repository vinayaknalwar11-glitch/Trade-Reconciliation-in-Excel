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14ac7da521bb9b00/Documents/"/>
    </mc:Choice>
  </mc:AlternateContent>
  <xr:revisionPtr revIDLastSave="0" documentId="8_{BA79E15B-4425-4689-BA40-4A4F24B98D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onciliation" sheetId="5" r:id="rId1"/>
    <sheet name="Bank_Records" sheetId="2" r:id="rId2"/>
    <sheet name="Custodian_Records" sheetId="3" r:id="rId3"/>
  </sheets>
  <definedNames>
    <definedName name="_xlnm._FilterDatabase" localSheetId="0" hidden="1">Reconciliation!$A$1:$F$61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5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2" i="3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2" i="5"/>
  <c r="D3" i="5"/>
  <c r="F3" i="5" s="1"/>
  <c r="D4" i="5"/>
  <c r="F4" i="5" s="1"/>
  <c r="D5" i="5"/>
  <c r="F5" i="5" s="1"/>
  <c r="D6" i="5"/>
  <c r="F6" i="5" s="1"/>
  <c r="D7" i="5"/>
  <c r="F7" i="5" s="1"/>
  <c r="D8" i="5"/>
  <c r="F8" i="5" s="1"/>
  <c r="D9" i="5"/>
  <c r="F9" i="5" s="1"/>
  <c r="D10" i="5"/>
  <c r="F10" i="5" s="1"/>
  <c r="D11" i="5"/>
  <c r="F11" i="5" s="1"/>
  <c r="D12" i="5"/>
  <c r="F12" i="5" s="1"/>
  <c r="D13" i="5"/>
  <c r="F13" i="5" s="1"/>
  <c r="D14" i="5"/>
  <c r="F14" i="5" s="1"/>
  <c r="D15" i="5"/>
  <c r="F15" i="5" s="1"/>
  <c r="D16" i="5"/>
  <c r="F16" i="5" s="1"/>
  <c r="D17" i="5"/>
  <c r="F17" i="5" s="1"/>
  <c r="D18" i="5"/>
  <c r="F18" i="5" s="1"/>
  <c r="D19" i="5"/>
  <c r="F19" i="5" s="1"/>
  <c r="D20" i="5"/>
  <c r="F20" i="5" s="1"/>
  <c r="D21" i="5"/>
  <c r="F21" i="5" s="1"/>
  <c r="D22" i="5"/>
  <c r="F22" i="5" s="1"/>
  <c r="D23" i="5"/>
  <c r="F23" i="5" s="1"/>
  <c r="D24" i="5"/>
  <c r="F24" i="5" s="1"/>
  <c r="D25" i="5"/>
  <c r="F25" i="5" s="1"/>
  <c r="D26" i="5"/>
  <c r="F26" i="5" s="1"/>
  <c r="D27" i="5"/>
  <c r="F27" i="5" s="1"/>
  <c r="D28" i="5"/>
  <c r="F28" i="5" s="1"/>
  <c r="D29" i="5"/>
  <c r="F29" i="5" s="1"/>
  <c r="D30" i="5"/>
  <c r="F30" i="5" s="1"/>
  <c r="D31" i="5"/>
  <c r="F31" i="5" s="1"/>
  <c r="D32" i="5"/>
  <c r="F32" i="5" s="1"/>
  <c r="D33" i="5"/>
  <c r="F33" i="5" s="1"/>
  <c r="D34" i="5"/>
  <c r="F34" i="5" s="1"/>
  <c r="D35" i="5"/>
  <c r="F35" i="5" s="1"/>
  <c r="D36" i="5"/>
  <c r="F36" i="5" s="1"/>
  <c r="D37" i="5"/>
  <c r="F37" i="5" s="1"/>
  <c r="D38" i="5"/>
  <c r="F38" i="5" s="1"/>
  <c r="D39" i="5"/>
  <c r="F39" i="5" s="1"/>
  <c r="D40" i="5"/>
  <c r="F40" i="5" s="1"/>
  <c r="D41" i="5"/>
  <c r="F41" i="5" s="1"/>
  <c r="D42" i="5"/>
  <c r="F42" i="5" s="1"/>
  <c r="D43" i="5"/>
  <c r="F43" i="5" s="1"/>
  <c r="D44" i="5"/>
  <c r="F44" i="5" s="1"/>
  <c r="D45" i="5"/>
  <c r="D46" i="5"/>
  <c r="F46" i="5" s="1"/>
  <c r="D47" i="5"/>
  <c r="F47" i="5" s="1"/>
  <c r="D48" i="5"/>
  <c r="F48" i="5" s="1"/>
  <c r="D49" i="5"/>
  <c r="F49" i="5" s="1"/>
  <c r="D50" i="5"/>
  <c r="F50" i="5" s="1"/>
  <c r="D51" i="5"/>
  <c r="F51" i="5" s="1"/>
  <c r="D52" i="5"/>
  <c r="F52" i="5" s="1"/>
  <c r="D53" i="5"/>
  <c r="F53" i="5" s="1"/>
  <c r="D54" i="5"/>
  <c r="F54" i="5" s="1"/>
  <c r="D55" i="5"/>
  <c r="F55" i="5" s="1"/>
  <c r="D56" i="5"/>
  <c r="F56" i="5" s="1"/>
  <c r="D57" i="5"/>
  <c r="F57" i="5" s="1"/>
  <c r="D58" i="5"/>
  <c r="F58" i="5" s="1"/>
  <c r="D59" i="5"/>
  <c r="D60" i="5"/>
  <c r="F60" i="5" s="1"/>
  <c r="D61" i="5"/>
  <c r="F61" i="5" s="1"/>
  <c r="D2" i="5"/>
  <c r="F2" i="5" s="1"/>
  <c r="F59" i="5" l="1"/>
  <c r="F45" i="5"/>
  <c r="I2" i="5"/>
  <c r="I4" i="5"/>
  <c r="I5" i="5"/>
  <c r="I3" i="5"/>
  <c r="I7" i="5" s="1"/>
</calcChain>
</file>

<file path=xl/sharedStrings.xml><?xml version="1.0" encoding="utf-8"?>
<sst xmlns="http://schemas.openxmlformats.org/spreadsheetml/2006/main" count="483" uniqueCount="108">
  <si>
    <t>Trade ID</t>
  </si>
  <si>
    <t>Trade Date</t>
  </si>
  <si>
    <t>Security</t>
  </si>
  <si>
    <t>Side</t>
  </si>
  <si>
    <t>Quantity</t>
  </si>
  <si>
    <t>Amount (INR)</t>
  </si>
  <si>
    <t>TRD1001</t>
  </si>
  <si>
    <t>INFY</t>
  </si>
  <si>
    <t>BUY</t>
  </si>
  <si>
    <t>TRD1002</t>
  </si>
  <si>
    <t>AXISBANK</t>
  </si>
  <si>
    <t>TRD1003</t>
  </si>
  <si>
    <t>HDFCBANK</t>
  </si>
  <si>
    <t>SELL</t>
  </si>
  <si>
    <t>TRD1004</t>
  </si>
  <si>
    <t>TCS</t>
  </si>
  <si>
    <t>TRD1005</t>
  </si>
  <si>
    <t>KOTAKBANK</t>
  </si>
  <si>
    <t>TRD1006</t>
  </si>
  <si>
    <t>TRD1007</t>
  </si>
  <si>
    <t>TRD1008</t>
  </si>
  <si>
    <t>TRD1009</t>
  </si>
  <si>
    <t>MARUTI</t>
  </si>
  <si>
    <t>TRD1010</t>
  </si>
  <si>
    <t>TRD1011</t>
  </si>
  <si>
    <t>RELIANCE</t>
  </si>
  <si>
    <t>TRD1012</t>
  </si>
  <si>
    <t>ITC</t>
  </si>
  <si>
    <t>TRD1013</t>
  </si>
  <si>
    <t>ICICIBANK</t>
  </si>
  <si>
    <t>TRD1014</t>
  </si>
  <si>
    <t>TRD1015</t>
  </si>
  <si>
    <t>WIPRO</t>
  </si>
  <si>
    <t>TRD1016</t>
  </si>
  <si>
    <t>TRD1017</t>
  </si>
  <si>
    <t>LT</t>
  </si>
  <si>
    <t>TRD1018</t>
  </si>
  <si>
    <t>TRD1019</t>
  </si>
  <si>
    <t>TRD1020</t>
  </si>
  <si>
    <t>TRD1021</t>
  </si>
  <si>
    <t>TRD1022</t>
  </si>
  <si>
    <t>TRD1023</t>
  </si>
  <si>
    <t>TRD1024</t>
  </si>
  <si>
    <t>TRD1025</t>
  </si>
  <si>
    <t>TRD1026</t>
  </si>
  <si>
    <t>TRD1027</t>
  </si>
  <si>
    <t>TRD1028</t>
  </si>
  <si>
    <t>SBIN</t>
  </si>
  <si>
    <t>TRD1029</t>
  </si>
  <si>
    <t>TRD1030</t>
  </si>
  <si>
    <t>TRD1031</t>
  </si>
  <si>
    <t>TRD1032</t>
  </si>
  <si>
    <t>TRD1033</t>
  </si>
  <si>
    <t>TRD1034</t>
  </si>
  <si>
    <t>TRD1035</t>
  </si>
  <si>
    <t>TRD1036</t>
  </si>
  <si>
    <t>TRD1037</t>
  </si>
  <si>
    <t>TRD1038</t>
  </si>
  <si>
    <t>TRD1039</t>
  </si>
  <si>
    <t>TRD1040</t>
  </si>
  <si>
    <t>TRD1041</t>
  </si>
  <si>
    <t>TRD1042</t>
  </si>
  <si>
    <t>TRD1043</t>
  </si>
  <si>
    <t>TRD1044</t>
  </si>
  <si>
    <t>TRD1045</t>
  </si>
  <si>
    <t>TRD1046</t>
  </si>
  <si>
    <t>TRD1047</t>
  </si>
  <si>
    <t>TRD1048</t>
  </si>
  <si>
    <t>TRD1049</t>
  </si>
  <si>
    <t>TRD1050</t>
  </si>
  <si>
    <t>TRD1051</t>
  </si>
  <si>
    <t>TRD1052</t>
  </si>
  <si>
    <t>TRD1053</t>
  </si>
  <si>
    <t>TRD1054</t>
  </si>
  <si>
    <t>TRD1055</t>
  </si>
  <si>
    <t>TRD1056</t>
  </si>
  <si>
    <t>TRD1057</t>
  </si>
  <si>
    <t>TRD1058</t>
  </si>
  <si>
    <t>TRD1059</t>
  </si>
  <si>
    <t>TRD1060</t>
  </si>
  <si>
    <t>TRD2001</t>
  </si>
  <si>
    <t>TRD2002</t>
  </si>
  <si>
    <t>Break Type</t>
  </si>
  <si>
    <t>Detail</t>
  </si>
  <si>
    <t>Amount mismatch</t>
  </si>
  <si>
    <t>Bank 60,700 vs Custodian 63,200</t>
  </si>
  <si>
    <t>Date mismatch</t>
  </si>
  <si>
    <t>Bank 2026-09-12 vs Custodian 2026-09-13</t>
  </si>
  <si>
    <t>Missing in Custodian</t>
  </si>
  <si>
    <t>Present in Bank only</t>
  </si>
  <si>
    <t>Bank 253,950 vs Custodian 252,750</t>
  </si>
  <si>
    <t>Bank 542,600 vs Custodian 542,100</t>
  </si>
  <si>
    <t>Bank 2026-09-06 vs Custodian 2026-09-07</t>
  </si>
  <si>
    <t>Bank 453,400 vs Custodian 452,200</t>
  </si>
  <si>
    <t>Bank 395,500 vs Custodian 396,700</t>
  </si>
  <si>
    <t>Missing in Bank</t>
  </si>
  <si>
    <t>Present in Custodian only</t>
  </si>
  <si>
    <t>Bank Date</t>
  </si>
  <si>
    <t>Bank Amount</t>
  </si>
  <si>
    <t>Custodian Date</t>
  </si>
  <si>
    <t>Custodian Amount</t>
  </si>
  <si>
    <t>Status</t>
  </si>
  <si>
    <t>CHECK</t>
  </si>
  <si>
    <t>Matched</t>
  </si>
  <si>
    <t>Amount Break</t>
  </si>
  <si>
    <t>Date Break</t>
  </si>
  <si>
    <t>Total Breaks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</si>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</sst>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14" fontId="0" fillId="0" borderId="0" xfId="0" applyNumberFormat="1"/>
    <xf numFmtId="0" fontId="1" fillId="2" borderId="1" xfId="0" applyFont="1" applyFill="1" applyBorder="1"/>
    <xf numFmtId="0" fontId="2" fillId="0" borderId="1" xfId="0" applyFont="1" applyBorder="1"/>
    <xf numFmtId="165" fontId="2" fillId="0" borderId="1" xfId="0" applyNumberFormat="1" applyFont="1" applyBorder="1"/>
    <xf numFmtId="3" fontId="2" fillId="0" borderId="1" xfId="0" applyNumberFormat="1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NumberFormat="1"/>
    <xf numFmtId="0" fontId="0" fillId="0" borderId="1" xfId="0" applyNumberFormat="1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1F4E7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938183-03E8-410A-B001-5634CD98FB5E}" name="Table1" displayName="Table1" ref="L1:N13" totalsRowShown="0" headerRowDxfId="6" dataDxfId="7">
  <tableColumns count="3">
    <tableColumn id="1" xr3:uid="{1F73062C-AA49-4B67-B81C-76080D59DA2F}" name="Trade ID" dataDxfId="2"/>
    <tableColumn id="2" xr3:uid="{CF216FE9-3215-45C3-9C9F-038BF8F01CAD}" name="Break Type" dataDxfId="1"/>
    <tableColumn id="3" xr3:uid="{CD986678-FBBD-4127-BA8B-A5CC69ABDC86}" name="Detail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FBD929-3EB3-47FC-9E5A-EBE17CA42EDF}" name="Table2" displayName="Table2" ref="H1:I7" totalsRowShown="0" headerRowDxfId="5">
  <tableColumns count="2">
    <tableColumn id="1" xr3:uid="{F6FF0D1B-66D6-4D97-9110-85F501058183}" name="Break Type" dataDxfId="4"/>
    <tableColumn id="2" xr3:uid="{77F18408-DD4C-4EC9-A8D2-2A3E0F21B9BD}" name="Count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6C53-712B-4CF1-9B27-084E182A7A29}">
  <sheetPr>
    <tabColor theme="3"/>
  </sheetPr>
  <dimension ref="A1:N61"/>
  <sheetViews>
    <sheetView tabSelected="1" workbookViewId="0">
      <selection activeCell="N20" sqref="N20"/>
    </sheetView>
  </sheetViews>
  <sheetFormatPr defaultRowHeight="14.4" x14ac:dyDescent="0.3"/>
  <cols>
    <col min="1" max="1" width="9.6640625" bestFit="1" customWidth="1"/>
    <col min="2" max="2" width="12.5546875" bestFit="1" customWidth="1"/>
    <col min="3" max="3" width="14.21875" bestFit="1" customWidth="1"/>
    <col min="4" max="4" width="15.88671875" style="5" bestFit="1" customWidth="1"/>
    <col min="5" max="5" width="19.21875" bestFit="1" customWidth="1"/>
    <col min="6" max="6" width="21" bestFit="1" customWidth="1"/>
    <col min="8" max="8" width="17.6640625" bestFit="1" customWidth="1"/>
    <col min="9" max="9" width="8.6640625" customWidth="1"/>
    <col min="12" max="12" width="11" customWidth="1"/>
    <col min="13" max="13" width="19.6640625" bestFit="1" customWidth="1"/>
    <col min="14" max="14" width="40" bestFit="1" customWidth="1"/>
  </cols>
  <sheetData>
    <row r="1" spans="1:14" x14ac:dyDescent="0.3">
      <c r="A1" s="11" t="s">
        <v>0</v>
      </c>
      <c r="B1" s="11" t="s">
        <v>97</v>
      </c>
      <c r="C1" s="11" t="s">
        <v>98</v>
      </c>
      <c r="D1" s="12" t="s">
        <v>99</v>
      </c>
      <c r="E1" s="11" t="s">
        <v>100</v>
      </c>
      <c r="F1" s="11" t="s">
        <v>101</v>
      </c>
      <c r="H1" s="21" t="s">
        <v>82</v>
      </c>
      <c r="I1" s="21" t="s">
        <v>107</v>
      </c>
      <c r="L1" s="1" t="s">
        <v>0</v>
      </c>
      <c r="M1" s="1" t="s">
        <v>82</v>
      </c>
      <c r="N1" s="1" t="s">
        <v>83</v>
      </c>
    </row>
    <row r="2" spans="1:14" x14ac:dyDescent="0.3">
      <c r="A2" s="13" t="s">
        <v>6</v>
      </c>
      <c r="B2" s="14">
        <v>46276</v>
      </c>
      <c r="C2" s="15">
        <v>593200</v>
      </c>
      <c r="D2" s="16">
        <f>IFERROR(VLOOKUP(A2,Custodian_Records!A:F,2,FALSE),"NOT FOUND")</f>
        <v>46276</v>
      </c>
      <c r="E2" s="17">
        <f>IFERROR(VLOOKUP(Reconciliation!A2,Custodian_Records!A:F,6,FALSE),"NOT FOUND")</f>
        <v>593200</v>
      </c>
      <c r="F2" s="17" t="str">
        <f>IF(D2="NOT FOUND","MISSING IN CUSTODIAN",IF(E2&lt;&gt;C2,"AMOUNT BREAK",IF(D2&lt;&gt;B2,"DATE BREAK","MATCHED")))</f>
        <v>MATCHED</v>
      </c>
      <c r="H2" s="10" t="s">
        <v>103</v>
      </c>
      <c r="I2" s="10">
        <f>COUNTIF($F$2:$F$61,"Matched")</f>
        <v>50</v>
      </c>
      <c r="L2" s="7" t="s">
        <v>16</v>
      </c>
      <c r="M2" s="7" t="s">
        <v>84</v>
      </c>
      <c r="N2" s="7" t="s">
        <v>85</v>
      </c>
    </row>
    <row r="3" spans="1:14" x14ac:dyDescent="0.3">
      <c r="A3" s="13" t="s">
        <v>9</v>
      </c>
      <c r="B3" s="14">
        <v>46268</v>
      </c>
      <c r="C3" s="15">
        <v>89850</v>
      </c>
      <c r="D3" s="16">
        <f>IFERROR(VLOOKUP(A3,Custodian_Records!A:F,2,FALSE),"NOT FOUND")</f>
        <v>46268</v>
      </c>
      <c r="E3" s="17">
        <f>IFERROR(VLOOKUP(Reconciliation!A3,Custodian_Records!A:F,6,FALSE),"NOT FOUND")</f>
        <v>89850</v>
      </c>
      <c r="F3" s="17" t="str">
        <f t="shared" ref="F3:F61" si="0">IF(D3="NOT FOUND","MISSING IN CUSTODIAN",IF(E3&lt;&gt;C3,"AMOUNT BREAK",IF(D3&lt;&gt;B3,"DATE BREAK","MATCHED")))</f>
        <v>MATCHED</v>
      </c>
      <c r="H3" s="10" t="s">
        <v>104</v>
      </c>
      <c r="I3" s="10">
        <f>COUNTIF($F$2:$F$61,"Amount Break")</f>
        <v>5</v>
      </c>
      <c r="L3" s="7" t="s">
        <v>23</v>
      </c>
      <c r="M3" s="7" t="s">
        <v>86</v>
      </c>
      <c r="N3" s="7" t="s">
        <v>87</v>
      </c>
    </row>
    <row r="4" spans="1:14" x14ac:dyDescent="0.3">
      <c r="A4" s="13" t="s">
        <v>11</v>
      </c>
      <c r="B4" s="14">
        <v>46282</v>
      </c>
      <c r="C4" s="15">
        <v>32600</v>
      </c>
      <c r="D4" s="16">
        <f>IFERROR(VLOOKUP(A4,Custodian_Records!A:F,2,FALSE),"NOT FOUND")</f>
        <v>46282</v>
      </c>
      <c r="E4" s="17">
        <f>IFERROR(VLOOKUP(Reconciliation!A4,Custodian_Records!A:F,6,FALSE),"NOT FOUND")</f>
        <v>32600</v>
      </c>
      <c r="F4" s="17" t="str">
        <f t="shared" si="0"/>
        <v>MATCHED</v>
      </c>
      <c r="H4" s="10" t="s">
        <v>105</v>
      </c>
      <c r="I4" s="10">
        <f>COUNTIF($F$2:$F$61,"Date Break")</f>
        <v>2</v>
      </c>
      <c r="L4" s="7" t="s">
        <v>30</v>
      </c>
      <c r="M4" s="7" t="s">
        <v>88</v>
      </c>
      <c r="N4" s="7" t="s">
        <v>89</v>
      </c>
    </row>
    <row r="5" spans="1:14" x14ac:dyDescent="0.3">
      <c r="A5" s="13" t="s">
        <v>14</v>
      </c>
      <c r="B5" s="14">
        <v>46279</v>
      </c>
      <c r="C5" s="15">
        <v>67100</v>
      </c>
      <c r="D5" s="16">
        <f>IFERROR(VLOOKUP(A5,Custodian_Records!A:F,2,FALSE),"NOT FOUND")</f>
        <v>46279</v>
      </c>
      <c r="E5" s="17">
        <f>IFERROR(VLOOKUP(Reconciliation!A5,Custodian_Records!A:F,6,FALSE),"NOT FOUND")</f>
        <v>67100</v>
      </c>
      <c r="F5" s="17" t="str">
        <f t="shared" si="0"/>
        <v>MATCHED</v>
      </c>
      <c r="H5" s="10" t="s">
        <v>88</v>
      </c>
      <c r="I5" s="10">
        <f>COUNTIF($F$2:$F$61,"Missing in Custodian")</f>
        <v>3</v>
      </c>
      <c r="L5" s="7" t="s">
        <v>36</v>
      </c>
      <c r="M5" s="7" t="s">
        <v>84</v>
      </c>
      <c r="N5" s="7" t="s">
        <v>90</v>
      </c>
    </row>
    <row r="6" spans="1:14" x14ac:dyDescent="0.3">
      <c r="A6" s="13" t="s">
        <v>16</v>
      </c>
      <c r="B6" s="14">
        <v>46267</v>
      </c>
      <c r="C6" s="15">
        <v>60700</v>
      </c>
      <c r="D6" s="16">
        <f>IFERROR(VLOOKUP(A6,Custodian_Records!A:F,2,FALSE),"NOT FOUND")</f>
        <v>46267</v>
      </c>
      <c r="E6" s="17">
        <f>IFERROR(VLOOKUP(Reconciliation!A6,Custodian_Records!A:F,6,FALSE),"NOT FOUND")</f>
        <v>63200</v>
      </c>
      <c r="F6" s="17" t="str">
        <f t="shared" si="0"/>
        <v>AMOUNT BREAK</v>
      </c>
      <c r="H6" s="10" t="s">
        <v>95</v>
      </c>
      <c r="I6" s="10">
        <f>COUNTIF(Custodian_Records!G:G,"MISSING IN BANK")</f>
        <v>2</v>
      </c>
      <c r="L6" s="7" t="s">
        <v>43</v>
      </c>
      <c r="M6" s="7" t="s">
        <v>88</v>
      </c>
      <c r="N6" s="7" t="s">
        <v>89</v>
      </c>
    </row>
    <row r="7" spans="1:14" x14ac:dyDescent="0.3">
      <c r="A7" s="13" t="s">
        <v>18</v>
      </c>
      <c r="B7" s="14">
        <v>46284</v>
      </c>
      <c r="C7" s="15">
        <v>100600</v>
      </c>
      <c r="D7" s="16">
        <f>IFERROR(VLOOKUP(A7,Custodian_Records!A:F,2,FALSE),"NOT FOUND")</f>
        <v>46284</v>
      </c>
      <c r="E7" s="17">
        <f>IFERROR(VLOOKUP(Reconciliation!A7,Custodian_Records!A:F,6,FALSE),"NOT FOUND")</f>
        <v>100600</v>
      </c>
      <c r="F7" s="17" t="str">
        <f t="shared" si="0"/>
        <v>MATCHED</v>
      </c>
      <c r="H7" s="10" t="s">
        <v>106</v>
      </c>
      <c r="I7" s="10">
        <f>SUM(I3:I6)</f>
        <v>12</v>
      </c>
      <c r="L7" s="7" t="s">
        <v>49</v>
      </c>
      <c r="M7" s="7" t="s">
        <v>84</v>
      </c>
      <c r="N7" s="7" t="s">
        <v>91</v>
      </c>
    </row>
    <row r="8" spans="1:14" x14ac:dyDescent="0.3">
      <c r="A8" s="13" t="s">
        <v>19</v>
      </c>
      <c r="B8" s="14">
        <v>46267</v>
      </c>
      <c r="C8" s="15">
        <v>148600</v>
      </c>
      <c r="D8" s="16">
        <f>IFERROR(VLOOKUP(A8,Custodian_Records!A:F,2,FALSE),"NOT FOUND")</f>
        <v>46267</v>
      </c>
      <c r="E8" s="17">
        <f>IFERROR(VLOOKUP(Reconciliation!A8,Custodian_Records!A:F,6,FALSE),"NOT FOUND")</f>
        <v>148600</v>
      </c>
      <c r="F8" s="17" t="str">
        <f t="shared" si="0"/>
        <v>MATCHED</v>
      </c>
      <c r="L8" s="7" t="s">
        <v>56</v>
      </c>
      <c r="M8" s="7" t="s">
        <v>86</v>
      </c>
      <c r="N8" s="7" t="s">
        <v>92</v>
      </c>
    </row>
    <row r="9" spans="1:14" x14ac:dyDescent="0.3">
      <c r="A9" s="13" t="s">
        <v>20</v>
      </c>
      <c r="B9" s="14">
        <v>46270</v>
      </c>
      <c r="C9" s="15">
        <v>131900</v>
      </c>
      <c r="D9" s="16">
        <f>IFERROR(VLOOKUP(A9,Custodian_Records!A:F,2,FALSE),"NOT FOUND")</f>
        <v>46270</v>
      </c>
      <c r="E9" s="17">
        <f>IFERROR(VLOOKUP(Reconciliation!A9,Custodian_Records!A:F,6,FALSE),"NOT FOUND")</f>
        <v>131900</v>
      </c>
      <c r="F9" s="17" t="str">
        <f t="shared" si="0"/>
        <v>MATCHED</v>
      </c>
      <c r="L9" s="7" t="s">
        <v>61</v>
      </c>
      <c r="M9" s="7" t="s">
        <v>84</v>
      </c>
      <c r="N9" s="7" t="s">
        <v>93</v>
      </c>
    </row>
    <row r="10" spans="1:14" x14ac:dyDescent="0.3">
      <c r="A10" s="13" t="s">
        <v>21</v>
      </c>
      <c r="B10" s="14">
        <v>46283</v>
      </c>
      <c r="C10" s="15">
        <v>72200</v>
      </c>
      <c r="D10" s="16">
        <f>IFERROR(VLOOKUP(A10,Custodian_Records!A:F,2,FALSE),"NOT FOUND")</f>
        <v>46283</v>
      </c>
      <c r="E10" s="17">
        <f>IFERROR(VLOOKUP(Reconciliation!A10,Custodian_Records!A:F,6,FALSE),"NOT FOUND")</f>
        <v>72200</v>
      </c>
      <c r="F10" s="17" t="str">
        <f t="shared" si="0"/>
        <v>MATCHED</v>
      </c>
      <c r="L10" s="7" t="s">
        <v>68</v>
      </c>
      <c r="M10" s="7" t="s">
        <v>88</v>
      </c>
      <c r="N10" s="7" t="s">
        <v>89</v>
      </c>
    </row>
    <row r="11" spans="1:14" x14ac:dyDescent="0.3">
      <c r="A11" s="13" t="s">
        <v>23</v>
      </c>
      <c r="B11" s="14">
        <v>46277</v>
      </c>
      <c r="C11" s="15">
        <v>804000</v>
      </c>
      <c r="D11" s="16">
        <f>IFERROR(VLOOKUP(A11,Custodian_Records!A:F,2,FALSE),"NOT FOUND")</f>
        <v>46278</v>
      </c>
      <c r="E11" s="17">
        <f>IFERROR(VLOOKUP(Reconciliation!A11,Custodian_Records!A:F,6,FALSE),"NOT FOUND")</f>
        <v>804000</v>
      </c>
      <c r="F11" s="17" t="str">
        <f t="shared" si="0"/>
        <v>DATE BREAK</v>
      </c>
      <c r="L11" s="7" t="s">
        <v>75</v>
      </c>
      <c r="M11" s="7" t="s">
        <v>84</v>
      </c>
      <c r="N11" s="7" t="s">
        <v>94</v>
      </c>
    </row>
    <row r="12" spans="1:14" x14ac:dyDescent="0.3">
      <c r="A12" s="13" t="s">
        <v>24</v>
      </c>
      <c r="B12" s="14">
        <v>46284</v>
      </c>
      <c r="C12" s="15">
        <v>285750</v>
      </c>
      <c r="D12" s="16">
        <f>IFERROR(VLOOKUP(A12,Custodian_Records!A:F,2,FALSE),"NOT FOUND")</f>
        <v>46284</v>
      </c>
      <c r="E12" s="17">
        <f>IFERROR(VLOOKUP(Reconciliation!A12,Custodian_Records!A:F,6,FALSE),"NOT FOUND")</f>
        <v>285750</v>
      </c>
      <c r="F12" s="17" t="str">
        <f t="shared" si="0"/>
        <v>MATCHED</v>
      </c>
      <c r="L12" s="7" t="s">
        <v>80</v>
      </c>
      <c r="M12" s="7" t="s">
        <v>95</v>
      </c>
      <c r="N12" s="7" t="s">
        <v>96</v>
      </c>
    </row>
    <row r="13" spans="1:14" x14ac:dyDescent="0.3">
      <c r="A13" s="13" t="s">
        <v>26</v>
      </c>
      <c r="B13" s="14">
        <v>46283</v>
      </c>
      <c r="C13" s="15">
        <v>331050</v>
      </c>
      <c r="D13" s="16">
        <f>IFERROR(VLOOKUP(A13,Custodian_Records!A:F,2,FALSE),"NOT FOUND")</f>
        <v>46283</v>
      </c>
      <c r="E13" s="17">
        <f>IFERROR(VLOOKUP(Reconciliation!A13,Custodian_Records!A:F,6,FALSE),"NOT FOUND")</f>
        <v>331050</v>
      </c>
      <c r="F13" s="17" t="str">
        <f t="shared" si="0"/>
        <v>MATCHED</v>
      </c>
      <c r="L13" s="7" t="s">
        <v>81</v>
      </c>
      <c r="M13" s="7" t="s">
        <v>95</v>
      </c>
      <c r="N13" s="7" t="s">
        <v>96</v>
      </c>
    </row>
    <row r="14" spans="1:14" x14ac:dyDescent="0.3">
      <c r="A14" s="13" t="s">
        <v>28</v>
      </c>
      <c r="B14" s="14">
        <v>46277</v>
      </c>
      <c r="C14" s="15">
        <v>103600</v>
      </c>
      <c r="D14" s="16">
        <f>IFERROR(VLOOKUP(A14,Custodian_Records!A:F,2,FALSE),"NOT FOUND")</f>
        <v>46277</v>
      </c>
      <c r="E14" s="17">
        <f>IFERROR(VLOOKUP(Reconciliation!A14,Custodian_Records!A:F,6,FALSE),"NOT FOUND")</f>
        <v>103600</v>
      </c>
      <c r="F14" s="17" t="str">
        <f t="shared" si="0"/>
        <v>MATCHED</v>
      </c>
    </row>
    <row r="15" spans="1:14" x14ac:dyDescent="0.3">
      <c r="A15" s="13" t="s">
        <v>30</v>
      </c>
      <c r="B15" s="14">
        <v>46268</v>
      </c>
      <c r="C15" s="15">
        <v>367650</v>
      </c>
      <c r="D15" s="16" t="str">
        <f>IFERROR(VLOOKUP(A15,Custodian_Records!A:F,2,FALSE),"NOT FOUND")</f>
        <v>NOT FOUND</v>
      </c>
      <c r="E15" s="17" t="str">
        <f>IFERROR(VLOOKUP(Reconciliation!A15,Custodian_Records!A:F,6,FALSE),"NOT FOUND")</f>
        <v>NOT FOUND</v>
      </c>
      <c r="F15" s="17" t="str">
        <f t="shared" si="0"/>
        <v>MISSING IN CUSTODIAN</v>
      </c>
    </row>
    <row r="16" spans="1:14" x14ac:dyDescent="0.3">
      <c r="A16" s="13" t="s">
        <v>31</v>
      </c>
      <c r="B16" s="14">
        <v>46276</v>
      </c>
      <c r="C16" s="15">
        <v>295800</v>
      </c>
      <c r="D16" s="16">
        <f>IFERROR(VLOOKUP(A16,Custodian_Records!A:F,2,FALSE),"NOT FOUND")</f>
        <v>46276</v>
      </c>
      <c r="E16" s="17">
        <f>IFERROR(VLOOKUP(Reconciliation!A16,Custodian_Records!A:F,6,FALSE),"NOT FOUND")</f>
        <v>295800</v>
      </c>
      <c r="F16" s="17" t="str">
        <f t="shared" si="0"/>
        <v>MATCHED</v>
      </c>
    </row>
    <row r="17" spans="1:6" x14ac:dyDescent="0.3">
      <c r="A17" s="13" t="s">
        <v>33</v>
      </c>
      <c r="B17" s="14">
        <v>46269</v>
      </c>
      <c r="C17" s="15">
        <v>195000</v>
      </c>
      <c r="D17" s="16">
        <f>IFERROR(VLOOKUP(A17,Custodian_Records!A:F,2,FALSE),"NOT FOUND")</f>
        <v>46269</v>
      </c>
      <c r="E17" s="17">
        <f>IFERROR(VLOOKUP(Reconciliation!A17,Custodian_Records!A:F,6,FALSE),"NOT FOUND")</f>
        <v>195000</v>
      </c>
      <c r="F17" s="17" t="str">
        <f t="shared" si="0"/>
        <v>MATCHED</v>
      </c>
    </row>
    <row r="18" spans="1:6" x14ac:dyDescent="0.3">
      <c r="A18" s="13" t="s">
        <v>34</v>
      </c>
      <c r="B18" s="14">
        <v>46270</v>
      </c>
      <c r="C18" s="15">
        <v>92000</v>
      </c>
      <c r="D18" s="16">
        <f>IFERROR(VLOOKUP(A18,Custodian_Records!A:F,2,FALSE),"NOT FOUND")</f>
        <v>46270</v>
      </c>
      <c r="E18" s="17">
        <f>IFERROR(VLOOKUP(Reconciliation!A18,Custodian_Records!A:F,6,FALSE),"NOT FOUND")</f>
        <v>92000</v>
      </c>
      <c r="F18" s="17" t="str">
        <f t="shared" si="0"/>
        <v>MATCHED</v>
      </c>
    </row>
    <row r="19" spans="1:6" x14ac:dyDescent="0.3">
      <c r="A19" s="13" t="s">
        <v>36</v>
      </c>
      <c r="B19" s="14">
        <v>46283</v>
      </c>
      <c r="C19" s="15">
        <v>253950</v>
      </c>
      <c r="D19" s="16">
        <f>IFERROR(VLOOKUP(A19,Custodian_Records!A:F,2,FALSE),"NOT FOUND")</f>
        <v>46283</v>
      </c>
      <c r="E19" s="17">
        <f>IFERROR(VLOOKUP(Reconciliation!A19,Custodian_Records!A:F,6,FALSE),"NOT FOUND")</f>
        <v>252750</v>
      </c>
      <c r="F19" s="18" t="str">
        <f t="shared" si="0"/>
        <v>AMOUNT BREAK</v>
      </c>
    </row>
    <row r="20" spans="1:6" x14ac:dyDescent="0.3">
      <c r="A20" s="13" t="s">
        <v>37</v>
      </c>
      <c r="B20" s="14">
        <v>46285</v>
      </c>
      <c r="C20" s="15">
        <v>542000</v>
      </c>
      <c r="D20" s="16">
        <f>IFERROR(VLOOKUP(A20,Custodian_Records!A:F,2,FALSE),"NOT FOUND")</f>
        <v>46285</v>
      </c>
      <c r="E20" s="17">
        <f>IFERROR(VLOOKUP(Reconciliation!A20,Custodian_Records!A:F,6,FALSE),"NOT FOUND")</f>
        <v>542000</v>
      </c>
      <c r="F20" s="17" t="str">
        <f t="shared" si="0"/>
        <v>MATCHED</v>
      </c>
    </row>
    <row r="21" spans="1:6" x14ac:dyDescent="0.3">
      <c r="A21" s="13" t="s">
        <v>38</v>
      </c>
      <c r="B21" s="14">
        <v>46268</v>
      </c>
      <c r="C21" s="15">
        <v>631000</v>
      </c>
      <c r="D21" s="16">
        <f>IFERROR(VLOOKUP(A21,Custodian_Records!A:F,2,FALSE),"NOT FOUND")</f>
        <v>46268</v>
      </c>
      <c r="E21" s="17">
        <f>IFERROR(VLOOKUP(Reconciliation!A21,Custodian_Records!A:F,6,FALSE),"NOT FOUND")</f>
        <v>631000</v>
      </c>
      <c r="F21" s="17" t="str">
        <f t="shared" si="0"/>
        <v>MATCHED</v>
      </c>
    </row>
    <row r="22" spans="1:6" x14ac:dyDescent="0.3">
      <c r="A22" s="13" t="s">
        <v>39</v>
      </c>
      <c r="B22" s="14">
        <v>46267</v>
      </c>
      <c r="C22" s="15">
        <v>784000</v>
      </c>
      <c r="D22" s="16">
        <f>IFERROR(VLOOKUP(A22,Custodian_Records!A:F,2,FALSE),"NOT FOUND")</f>
        <v>46267</v>
      </c>
      <c r="E22" s="17">
        <f>IFERROR(VLOOKUP(Reconciliation!A22,Custodian_Records!A:F,6,FALSE),"NOT FOUND")</f>
        <v>784000</v>
      </c>
      <c r="F22" s="17" t="str">
        <f t="shared" si="0"/>
        <v>MATCHED</v>
      </c>
    </row>
    <row r="23" spans="1:6" x14ac:dyDescent="0.3">
      <c r="A23" s="13" t="s">
        <v>40</v>
      </c>
      <c r="B23" s="14">
        <v>46275</v>
      </c>
      <c r="C23" s="15">
        <v>607600</v>
      </c>
      <c r="D23" s="16">
        <f>IFERROR(VLOOKUP(A23,Custodian_Records!A:F,2,FALSE),"NOT FOUND")</f>
        <v>46275</v>
      </c>
      <c r="E23" s="17">
        <f>IFERROR(VLOOKUP(Reconciliation!A23,Custodian_Records!A:F,6,FALSE),"NOT FOUND")</f>
        <v>607600</v>
      </c>
      <c r="F23" s="17" t="str">
        <f t="shared" si="0"/>
        <v>MATCHED</v>
      </c>
    </row>
    <row r="24" spans="1:6" x14ac:dyDescent="0.3">
      <c r="A24" s="13" t="s">
        <v>41</v>
      </c>
      <c r="B24" s="14">
        <v>46266</v>
      </c>
      <c r="C24" s="15">
        <v>148200</v>
      </c>
      <c r="D24" s="16">
        <f>IFERROR(VLOOKUP(A24,Custodian_Records!A:F,2,FALSE),"NOT FOUND")</f>
        <v>46266</v>
      </c>
      <c r="E24" s="17">
        <f>IFERROR(VLOOKUP(Reconciliation!A24,Custodian_Records!A:F,6,FALSE),"NOT FOUND")</f>
        <v>148200</v>
      </c>
      <c r="F24" s="17" t="str">
        <f t="shared" si="0"/>
        <v>MATCHED</v>
      </c>
    </row>
    <row r="25" spans="1:6" x14ac:dyDescent="0.3">
      <c r="A25" s="13" t="s">
        <v>42</v>
      </c>
      <c r="B25" s="14">
        <v>46281</v>
      </c>
      <c r="C25" s="15">
        <v>344600</v>
      </c>
      <c r="D25" s="16">
        <f>IFERROR(VLOOKUP(A25,Custodian_Records!A:F,2,FALSE),"NOT FOUND")</f>
        <v>46281</v>
      </c>
      <c r="E25" s="17">
        <f>IFERROR(VLOOKUP(Reconciliation!A25,Custodian_Records!A:F,6,FALSE),"NOT FOUND")</f>
        <v>344600</v>
      </c>
      <c r="F25" s="17" t="str">
        <f t="shared" si="0"/>
        <v>MATCHED</v>
      </c>
    </row>
    <row r="26" spans="1:6" x14ac:dyDescent="0.3">
      <c r="A26" s="13" t="s">
        <v>43</v>
      </c>
      <c r="B26" s="14">
        <v>46270</v>
      </c>
      <c r="C26" s="15">
        <v>192900</v>
      </c>
      <c r="D26" s="16" t="str">
        <f>IFERROR(VLOOKUP(A26,Custodian_Records!A:F,2,FALSE),"NOT FOUND")</f>
        <v>NOT FOUND</v>
      </c>
      <c r="E26" s="17" t="str">
        <f>IFERROR(VLOOKUP(Reconciliation!A26,Custodian_Records!A:F,6,FALSE),"NOT FOUND")</f>
        <v>NOT FOUND</v>
      </c>
      <c r="F26" s="17" t="str">
        <f t="shared" si="0"/>
        <v>MISSING IN CUSTODIAN</v>
      </c>
    </row>
    <row r="27" spans="1:6" x14ac:dyDescent="0.3">
      <c r="A27" s="13" t="s">
        <v>44</v>
      </c>
      <c r="B27" s="14">
        <v>46281</v>
      </c>
      <c r="C27" s="15">
        <v>213900</v>
      </c>
      <c r="D27" s="16">
        <f>IFERROR(VLOOKUP(A27,Custodian_Records!A:F,2,FALSE),"NOT FOUND")</f>
        <v>46281</v>
      </c>
      <c r="E27" s="17">
        <f>IFERROR(VLOOKUP(Reconciliation!A27,Custodian_Records!A:F,6,FALSE),"NOT FOUND")</f>
        <v>213900</v>
      </c>
      <c r="F27" s="17" t="str">
        <f t="shared" si="0"/>
        <v>MATCHED</v>
      </c>
    </row>
    <row r="28" spans="1:6" x14ac:dyDescent="0.3">
      <c r="A28" s="13" t="s">
        <v>45</v>
      </c>
      <c r="B28" s="14">
        <v>46283</v>
      </c>
      <c r="C28" s="15">
        <v>206300</v>
      </c>
      <c r="D28" s="16">
        <f>IFERROR(VLOOKUP(A28,Custodian_Records!A:F,2,FALSE),"NOT FOUND")</f>
        <v>46283</v>
      </c>
      <c r="E28" s="17">
        <f>IFERROR(VLOOKUP(Reconciliation!A28,Custodian_Records!A:F,6,FALSE),"NOT FOUND")</f>
        <v>206300</v>
      </c>
      <c r="F28" s="17" t="str">
        <f t="shared" si="0"/>
        <v>MATCHED</v>
      </c>
    </row>
    <row r="29" spans="1:6" x14ac:dyDescent="0.3">
      <c r="A29" s="13" t="s">
        <v>46</v>
      </c>
      <c r="B29" s="14">
        <v>46279</v>
      </c>
      <c r="C29" s="15">
        <v>929000</v>
      </c>
      <c r="D29" s="16">
        <f>IFERROR(VLOOKUP(A29,Custodian_Records!A:F,2,FALSE),"NOT FOUND")</f>
        <v>46279</v>
      </c>
      <c r="E29" s="17">
        <f>IFERROR(VLOOKUP(Reconciliation!A29,Custodian_Records!A:F,6,FALSE),"NOT FOUND")</f>
        <v>929000</v>
      </c>
      <c r="F29" s="17" t="str">
        <f t="shared" si="0"/>
        <v>MATCHED</v>
      </c>
    </row>
    <row r="30" spans="1:6" x14ac:dyDescent="0.3">
      <c r="A30" s="13" t="s">
        <v>48</v>
      </c>
      <c r="B30" s="14">
        <v>46270</v>
      </c>
      <c r="C30" s="15">
        <v>91900</v>
      </c>
      <c r="D30" s="16">
        <f>IFERROR(VLOOKUP(A30,Custodian_Records!A:F,2,FALSE),"NOT FOUND")</f>
        <v>46270</v>
      </c>
      <c r="E30" s="17">
        <f>IFERROR(VLOOKUP(Reconciliation!A30,Custodian_Records!A:F,6,FALSE),"NOT FOUND")</f>
        <v>91900</v>
      </c>
      <c r="F30" s="17" t="str">
        <f t="shared" si="0"/>
        <v>MATCHED</v>
      </c>
    </row>
    <row r="31" spans="1:6" x14ac:dyDescent="0.3">
      <c r="A31" s="13" t="s">
        <v>49</v>
      </c>
      <c r="B31" s="14">
        <v>46273</v>
      </c>
      <c r="C31" s="15">
        <v>542600</v>
      </c>
      <c r="D31" s="16">
        <f>IFERROR(VLOOKUP(A31,Custodian_Records!A:F,2,FALSE),"NOT FOUND")</f>
        <v>46273</v>
      </c>
      <c r="E31" s="17">
        <f>IFERROR(VLOOKUP(Reconciliation!A31,Custodian_Records!A:F,6,FALSE),"NOT FOUND")</f>
        <v>542100</v>
      </c>
      <c r="F31" s="17" t="str">
        <f t="shared" si="0"/>
        <v>AMOUNT BREAK</v>
      </c>
    </row>
    <row r="32" spans="1:6" x14ac:dyDescent="0.3">
      <c r="A32" s="13" t="s">
        <v>50</v>
      </c>
      <c r="B32" s="14">
        <v>46274</v>
      </c>
      <c r="C32" s="15">
        <v>44800</v>
      </c>
      <c r="D32" s="16">
        <f>IFERROR(VLOOKUP(A32,Custodian_Records!A:F,2,FALSE),"NOT FOUND")</f>
        <v>46274</v>
      </c>
      <c r="E32" s="17">
        <f>IFERROR(VLOOKUP(Reconciliation!A32,Custodian_Records!A:F,6,FALSE),"NOT FOUND")</f>
        <v>44800</v>
      </c>
      <c r="F32" s="17" t="str">
        <f t="shared" si="0"/>
        <v>MATCHED</v>
      </c>
    </row>
    <row r="33" spans="1:6" x14ac:dyDescent="0.3">
      <c r="A33" s="13" t="s">
        <v>51</v>
      </c>
      <c r="B33" s="14">
        <v>46283</v>
      </c>
      <c r="C33" s="15">
        <v>654750</v>
      </c>
      <c r="D33" s="16">
        <f>IFERROR(VLOOKUP(A33,Custodian_Records!A:F,2,FALSE),"NOT FOUND")</f>
        <v>46283</v>
      </c>
      <c r="E33" s="17">
        <f>IFERROR(VLOOKUP(Reconciliation!A33,Custodian_Records!A:F,6,FALSE),"NOT FOUND")</f>
        <v>654750</v>
      </c>
      <c r="F33" s="17" t="str">
        <f t="shared" si="0"/>
        <v>MATCHED</v>
      </c>
    </row>
    <row r="34" spans="1:6" x14ac:dyDescent="0.3">
      <c r="A34" s="13" t="s">
        <v>52</v>
      </c>
      <c r="B34" s="14">
        <v>46270</v>
      </c>
      <c r="C34" s="15">
        <v>707250</v>
      </c>
      <c r="D34" s="16">
        <f>IFERROR(VLOOKUP(A34,Custodian_Records!A:F,2,FALSE),"NOT FOUND")</f>
        <v>46270</v>
      </c>
      <c r="E34" s="17">
        <f>IFERROR(VLOOKUP(Reconciliation!A34,Custodian_Records!A:F,6,FALSE),"NOT FOUND")</f>
        <v>707250</v>
      </c>
      <c r="F34" s="17" t="str">
        <f t="shared" si="0"/>
        <v>MATCHED</v>
      </c>
    </row>
    <row r="35" spans="1:6" x14ac:dyDescent="0.3">
      <c r="A35" s="13" t="s">
        <v>53</v>
      </c>
      <c r="B35" s="14">
        <v>46280</v>
      </c>
      <c r="C35" s="15">
        <v>476750</v>
      </c>
      <c r="D35" s="16">
        <f>IFERROR(VLOOKUP(A35,Custodian_Records!A:F,2,FALSE),"NOT FOUND")</f>
        <v>46280</v>
      </c>
      <c r="E35" s="17">
        <f>IFERROR(VLOOKUP(Reconciliation!A35,Custodian_Records!A:F,6,FALSE),"NOT FOUND")</f>
        <v>476750</v>
      </c>
      <c r="F35" s="17" t="str">
        <f t="shared" si="0"/>
        <v>MATCHED</v>
      </c>
    </row>
    <row r="36" spans="1:6" x14ac:dyDescent="0.3">
      <c r="A36" s="13" t="s">
        <v>54</v>
      </c>
      <c r="B36" s="14">
        <v>46278</v>
      </c>
      <c r="C36" s="15">
        <v>113600</v>
      </c>
      <c r="D36" s="16">
        <f>IFERROR(VLOOKUP(A36,Custodian_Records!A:F,2,FALSE),"NOT FOUND")</f>
        <v>46278</v>
      </c>
      <c r="E36" s="17">
        <f>IFERROR(VLOOKUP(Reconciliation!A36,Custodian_Records!A:F,6,FALSE),"NOT FOUND")</f>
        <v>113600</v>
      </c>
      <c r="F36" s="17" t="str">
        <f t="shared" si="0"/>
        <v>MATCHED</v>
      </c>
    </row>
    <row r="37" spans="1:6" x14ac:dyDescent="0.3">
      <c r="A37" s="13" t="s">
        <v>55</v>
      </c>
      <c r="B37" s="14">
        <v>46267</v>
      </c>
      <c r="C37" s="15">
        <v>57750</v>
      </c>
      <c r="D37" s="16">
        <f>IFERROR(VLOOKUP(A37,Custodian_Records!A:F,2,FALSE),"NOT FOUND")</f>
        <v>46267</v>
      </c>
      <c r="E37" s="17">
        <f>IFERROR(VLOOKUP(Reconciliation!A37,Custodian_Records!A:F,6,FALSE),"NOT FOUND")</f>
        <v>57750</v>
      </c>
      <c r="F37" s="17" t="str">
        <f t="shared" si="0"/>
        <v>MATCHED</v>
      </c>
    </row>
    <row r="38" spans="1:6" x14ac:dyDescent="0.3">
      <c r="A38" s="13" t="s">
        <v>56</v>
      </c>
      <c r="B38" s="14">
        <v>46271</v>
      </c>
      <c r="C38" s="15">
        <v>414000</v>
      </c>
      <c r="D38" s="16">
        <f>IFERROR(VLOOKUP(A38,Custodian_Records!A:F,2,FALSE),"NOT FOUND")</f>
        <v>46272</v>
      </c>
      <c r="E38" s="17">
        <f>IFERROR(VLOOKUP(Reconciliation!A38,Custodian_Records!A:F,6,FALSE),"NOT FOUND")</f>
        <v>414000</v>
      </c>
      <c r="F38" s="17" t="str">
        <f t="shared" si="0"/>
        <v>DATE BREAK</v>
      </c>
    </row>
    <row r="39" spans="1:6" x14ac:dyDescent="0.3">
      <c r="A39" s="13" t="s">
        <v>57</v>
      </c>
      <c r="B39" s="14">
        <v>46269</v>
      </c>
      <c r="C39" s="15">
        <v>229750</v>
      </c>
      <c r="D39" s="16">
        <f>IFERROR(VLOOKUP(A39,Custodian_Records!A:F,2,FALSE),"NOT FOUND")</f>
        <v>46269</v>
      </c>
      <c r="E39" s="17">
        <f>IFERROR(VLOOKUP(Reconciliation!A39,Custodian_Records!A:F,6,FALSE),"NOT FOUND")</f>
        <v>229750</v>
      </c>
      <c r="F39" s="17" t="str">
        <f t="shared" si="0"/>
        <v>MATCHED</v>
      </c>
    </row>
    <row r="40" spans="1:6" x14ac:dyDescent="0.3">
      <c r="A40" s="13" t="s">
        <v>58</v>
      </c>
      <c r="B40" s="14">
        <v>46277</v>
      </c>
      <c r="C40" s="15">
        <v>29400</v>
      </c>
      <c r="D40" s="16">
        <f>IFERROR(VLOOKUP(A40,Custodian_Records!A:F,2,FALSE),"NOT FOUND")</f>
        <v>46277</v>
      </c>
      <c r="E40" s="17">
        <f>IFERROR(VLOOKUP(Reconciliation!A40,Custodian_Records!A:F,6,FALSE),"NOT FOUND")</f>
        <v>29400</v>
      </c>
      <c r="F40" s="17" t="str">
        <f t="shared" si="0"/>
        <v>MATCHED</v>
      </c>
    </row>
    <row r="41" spans="1:6" x14ac:dyDescent="0.3">
      <c r="A41" s="13" t="s">
        <v>59</v>
      </c>
      <c r="B41" s="14">
        <v>46285</v>
      </c>
      <c r="C41" s="15">
        <v>289800</v>
      </c>
      <c r="D41" s="16">
        <f>IFERROR(VLOOKUP(A41,Custodian_Records!A:F,2,FALSE),"NOT FOUND")</f>
        <v>46285</v>
      </c>
      <c r="E41" s="17">
        <f>IFERROR(VLOOKUP(Reconciliation!A41,Custodian_Records!A:F,6,FALSE),"NOT FOUND")</f>
        <v>289800</v>
      </c>
      <c r="F41" s="17" t="str">
        <f t="shared" si="0"/>
        <v>MATCHED</v>
      </c>
    </row>
    <row r="42" spans="1:6" x14ac:dyDescent="0.3">
      <c r="A42" s="13" t="s">
        <v>60</v>
      </c>
      <c r="B42" s="14">
        <v>46277</v>
      </c>
      <c r="C42" s="15">
        <v>336300</v>
      </c>
      <c r="D42" s="16">
        <f>IFERROR(VLOOKUP(A42,Custodian_Records!A:F,2,FALSE),"NOT FOUND")</f>
        <v>46277</v>
      </c>
      <c r="E42" s="17">
        <f>IFERROR(VLOOKUP(Reconciliation!A42,Custodian_Records!A:F,6,FALSE),"NOT FOUND")</f>
        <v>336300</v>
      </c>
      <c r="F42" s="17" t="str">
        <f t="shared" si="0"/>
        <v>MATCHED</v>
      </c>
    </row>
    <row r="43" spans="1:6" x14ac:dyDescent="0.3">
      <c r="A43" s="13" t="s">
        <v>61</v>
      </c>
      <c r="B43" s="14">
        <v>46269</v>
      </c>
      <c r="C43" s="15">
        <v>453400</v>
      </c>
      <c r="D43" s="16">
        <f>IFERROR(VLOOKUP(A43,Custodian_Records!A:F,2,FALSE),"NOT FOUND")</f>
        <v>46269</v>
      </c>
      <c r="E43" s="17">
        <f>IFERROR(VLOOKUP(Reconciliation!A43,Custodian_Records!A:F,6,FALSE),"NOT FOUND")</f>
        <v>452200</v>
      </c>
      <c r="F43" s="17" t="str">
        <f t="shared" si="0"/>
        <v>AMOUNT BREAK</v>
      </c>
    </row>
    <row r="44" spans="1:6" x14ac:dyDescent="0.3">
      <c r="A44" s="13" t="s">
        <v>62</v>
      </c>
      <c r="B44" s="14">
        <v>46275</v>
      </c>
      <c r="C44" s="15">
        <v>71800</v>
      </c>
      <c r="D44" s="16">
        <f>IFERROR(VLOOKUP(A44,Custodian_Records!A:F,2,FALSE),"NOT FOUND")</f>
        <v>46275</v>
      </c>
      <c r="E44" s="17">
        <f>IFERROR(VLOOKUP(Reconciliation!A44,Custodian_Records!A:F,6,FALSE),"NOT FOUND")</f>
        <v>71800</v>
      </c>
      <c r="F44" s="17" t="str">
        <f t="shared" si="0"/>
        <v>MATCHED</v>
      </c>
    </row>
    <row r="45" spans="1:6" x14ac:dyDescent="0.3">
      <c r="A45" s="13" t="s">
        <v>63</v>
      </c>
      <c r="B45" s="14">
        <v>46274</v>
      </c>
      <c r="C45" s="15">
        <v>480500</v>
      </c>
      <c r="D45" s="16">
        <f>IFERROR(VLOOKUP(A45,Custodian_Records!A:F,2,FALSE),"NOT FOUND")</f>
        <v>46274</v>
      </c>
      <c r="E45" s="17">
        <f>IFERROR(VLOOKUP(Reconciliation!A45,Custodian_Records!A:F,6,FALSE),"NOT FOUND")</f>
        <v>480500</v>
      </c>
      <c r="F45" s="17" t="str">
        <f t="shared" si="0"/>
        <v>MATCHED</v>
      </c>
    </row>
    <row r="46" spans="1:6" x14ac:dyDescent="0.3">
      <c r="A46" s="13" t="s">
        <v>64</v>
      </c>
      <c r="B46" s="14">
        <v>46272</v>
      </c>
      <c r="C46" s="15">
        <v>135000</v>
      </c>
      <c r="D46" s="16">
        <f>IFERROR(VLOOKUP(A46,Custodian_Records!A:F,2,FALSE),"NOT FOUND")</f>
        <v>46272</v>
      </c>
      <c r="E46" s="17">
        <f>IFERROR(VLOOKUP(Reconciliation!A46,Custodian_Records!A:F,6,FALSE),"NOT FOUND")</f>
        <v>135000</v>
      </c>
      <c r="F46" s="17" t="str">
        <f t="shared" si="0"/>
        <v>MATCHED</v>
      </c>
    </row>
    <row r="47" spans="1:6" x14ac:dyDescent="0.3">
      <c r="A47" s="13" t="s">
        <v>65</v>
      </c>
      <c r="B47" s="14">
        <v>46282</v>
      </c>
      <c r="C47" s="15">
        <v>336000</v>
      </c>
      <c r="D47" s="16">
        <f>IFERROR(VLOOKUP(A47,Custodian_Records!A:F,2,FALSE),"NOT FOUND")</f>
        <v>46282</v>
      </c>
      <c r="E47" s="17">
        <f>IFERROR(VLOOKUP(Reconciliation!A47,Custodian_Records!A:F,6,FALSE),"NOT FOUND")</f>
        <v>336000</v>
      </c>
      <c r="F47" s="17" t="str">
        <f t="shared" si="0"/>
        <v>MATCHED</v>
      </c>
    </row>
    <row r="48" spans="1:6" x14ac:dyDescent="0.3">
      <c r="A48" s="13" t="s">
        <v>66</v>
      </c>
      <c r="B48" s="14">
        <v>46282</v>
      </c>
      <c r="C48" s="15">
        <v>175600</v>
      </c>
      <c r="D48" s="16">
        <f>IFERROR(VLOOKUP(A48,Custodian_Records!A:F,2,FALSE),"NOT FOUND")</f>
        <v>46282</v>
      </c>
      <c r="E48" s="17">
        <f>IFERROR(VLOOKUP(Reconciliation!A48,Custodian_Records!A:F,6,FALSE),"NOT FOUND")</f>
        <v>175600</v>
      </c>
      <c r="F48" s="17" t="str">
        <f t="shared" si="0"/>
        <v>MATCHED</v>
      </c>
    </row>
    <row r="49" spans="1:6" x14ac:dyDescent="0.3">
      <c r="A49" s="13" t="s">
        <v>67</v>
      </c>
      <c r="B49" s="14">
        <v>46283</v>
      </c>
      <c r="C49" s="15">
        <v>412500</v>
      </c>
      <c r="D49" s="16">
        <f>IFERROR(VLOOKUP(A49,Custodian_Records!A:F,2,FALSE),"NOT FOUND")</f>
        <v>46283</v>
      </c>
      <c r="E49" s="17">
        <f>IFERROR(VLOOKUP(Reconciliation!A49,Custodian_Records!A:F,6,FALSE),"NOT FOUND")</f>
        <v>412500</v>
      </c>
      <c r="F49" s="17" t="str">
        <f t="shared" si="0"/>
        <v>MATCHED</v>
      </c>
    </row>
    <row r="50" spans="1:6" x14ac:dyDescent="0.3">
      <c r="A50" s="13" t="s">
        <v>68</v>
      </c>
      <c r="B50" s="14">
        <v>46285</v>
      </c>
      <c r="C50" s="15">
        <v>194100</v>
      </c>
      <c r="D50" s="16" t="str">
        <f>IFERROR(VLOOKUP(A50,Custodian_Records!A:F,2,FALSE),"NOT FOUND")</f>
        <v>NOT FOUND</v>
      </c>
      <c r="E50" s="17" t="str">
        <f>IFERROR(VLOOKUP(Reconciliation!A50,Custodian_Records!A:F,6,FALSE),"NOT FOUND")</f>
        <v>NOT FOUND</v>
      </c>
      <c r="F50" s="17" t="str">
        <f t="shared" si="0"/>
        <v>MISSING IN CUSTODIAN</v>
      </c>
    </row>
    <row r="51" spans="1:6" x14ac:dyDescent="0.3">
      <c r="A51" s="13" t="s">
        <v>69</v>
      </c>
      <c r="B51" s="14">
        <v>46272</v>
      </c>
      <c r="C51" s="15">
        <v>351200</v>
      </c>
      <c r="D51" s="16">
        <f>IFERROR(VLOOKUP(A51,Custodian_Records!A:F,2,FALSE),"NOT FOUND")</f>
        <v>46272</v>
      </c>
      <c r="E51" s="17">
        <f>IFERROR(VLOOKUP(Reconciliation!A51,Custodian_Records!A:F,6,FALSE),"NOT FOUND")</f>
        <v>351200</v>
      </c>
      <c r="F51" s="17" t="str">
        <f t="shared" si="0"/>
        <v>MATCHED</v>
      </c>
    </row>
    <row r="52" spans="1:6" x14ac:dyDescent="0.3">
      <c r="A52" s="13" t="s">
        <v>70</v>
      </c>
      <c r="B52" s="14">
        <v>46266</v>
      </c>
      <c r="C52" s="15">
        <v>272200</v>
      </c>
      <c r="D52" s="16">
        <f>IFERROR(VLOOKUP(A52,Custodian_Records!A:F,2,FALSE),"NOT FOUND")</f>
        <v>46266</v>
      </c>
      <c r="E52" s="17">
        <f>IFERROR(VLOOKUP(Reconciliation!A52,Custodian_Records!A:F,6,FALSE),"NOT FOUND")</f>
        <v>272200</v>
      </c>
      <c r="F52" s="17" t="str">
        <f t="shared" si="0"/>
        <v>MATCHED</v>
      </c>
    </row>
    <row r="53" spans="1:6" x14ac:dyDescent="0.3">
      <c r="A53" s="13" t="s">
        <v>71</v>
      </c>
      <c r="B53" s="14">
        <v>46285</v>
      </c>
      <c r="C53" s="15">
        <v>652200</v>
      </c>
      <c r="D53" s="16">
        <f>IFERROR(VLOOKUP(A53,Custodian_Records!A:F,2,FALSE),"NOT FOUND")</f>
        <v>46285</v>
      </c>
      <c r="E53" s="17">
        <f>IFERROR(VLOOKUP(Reconciliation!A53,Custodian_Records!A:F,6,FALSE),"NOT FOUND")</f>
        <v>652200</v>
      </c>
      <c r="F53" s="17" t="str">
        <f t="shared" si="0"/>
        <v>MATCHED</v>
      </c>
    </row>
    <row r="54" spans="1:6" x14ac:dyDescent="0.3">
      <c r="A54" s="13" t="s">
        <v>72</v>
      </c>
      <c r="B54" s="14">
        <v>46277</v>
      </c>
      <c r="C54" s="15">
        <v>71800</v>
      </c>
      <c r="D54" s="16">
        <f>IFERROR(VLOOKUP(A54,Custodian_Records!A:F,2,FALSE),"NOT FOUND")</f>
        <v>46277</v>
      </c>
      <c r="E54" s="17">
        <f>IFERROR(VLOOKUP(Reconciliation!A54,Custodian_Records!A:F,6,FALSE),"NOT FOUND")</f>
        <v>71800</v>
      </c>
      <c r="F54" s="17" t="str">
        <f t="shared" si="0"/>
        <v>MATCHED</v>
      </c>
    </row>
    <row r="55" spans="1:6" x14ac:dyDescent="0.3">
      <c r="A55" s="13" t="s">
        <v>73</v>
      </c>
      <c r="B55" s="14">
        <v>46281</v>
      </c>
      <c r="C55" s="15">
        <v>170550</v>
      </c>
      <c r="D55" s="16">
        <f>IFERROR(VLOOKUP(A55,Custodian_Records!A:F,2,FALSE),"NOT FOUND")</f>
        <v>46281</v>
      </c>
      <c r="E55" s="17">
        <f>IFERROR(VLOOKUP(Reconciliation!A55,Custodian_Records!A:F,6,FALSE),"NOT FOUND")</f>
        <v>170550</v>
      </c>
      <c r="F55" s="17" t="str">
        <f t="shared" si="0"/>
        <v>MATCHED</v>
      </c>
    </row>
    <row r="56" spans="1:6" x14ac:dyDescent="0.3">
      <c r="A56" s="13" t="s">
        <v>74</v>
      </c>
      <c r="B56" s="14">
        <v>46285</v>
      </c>
      <c r="C56" s="15">
        <v>113150</v>
      </c>
      <c r="D56" s="16">
        <f>IFERROR(VLOOKUP(A56,Custodian_Records!A:F,2,FALSE),"NOT FOUND")</f>
        <v>46285</v>
      </c>
      <c r="E56" s="17">
        <f>IFERROR(VLOOKUP(Reconciliation!A56,Custodian_Records!A:F,6,FALSE),"NOT FOUND")</f>
        <v>113150</v>
      </c>
      <c r="F56" s="17" t="str">
        <f t="shared" si="0"/>
        <v>MATCHED</v>
      </c>
    </row>
    <row r="57" spans="1:6" x14ac:dyDescent="0.3">
      <c r="A57" s="13" t="s">
        <v>75</v>
      </c>
      <c r="B57" s="14">
        <v>46286</v>
      </c>
      <c r="C57" s="15">
        <v>395500</v>
      </c>
      <c r="D57" s="16">
        <f>IFERROR(VLOOKUP(A57,Custodian_Records!A:F,2,FALSE),"NOT FOUND")</f>
        <v>46286</v>
      </c>
      <c r="E57" s="17">
        <f>IFERROR(VLOOKUP(Reconciliation!A57,Custodian_Records!A:F,6,FALSE),"NOT FOUND")</f>
        <v>396700</v>
      </c>
      <c r="F57" s="17" t="str">
        <f t="shared" si="0"/>
        <v>AMOUNT BREAK</v>
      </c>
    </row>
    <row r="58" spans="1:6" x14ac:dyDescent="0.3">
      <c r="A58" s="13" t="s">
        <v>76</v>
      </c>
      <c r="B58" s="14">
        <v>46272</v>
      </c>
      <c r="C58" s="15">
        <v>207700</v>
      </c>
      <c r="D58" s="16">
        <f>IFERROR(VLOOKUP(A58,Custodian_Records!A:F,2,FALSE),"NOT FOUND")</f>
        <v>46272</v>
      </c>
      <c r="E58" s="17">
        <f>IFERROR(VLOOKUP(Reconciliation!A58,Custodian_Records!A:F,6,FALSE),"NOT FOUND")</f>
        <v>207700</v>
      </c>
      <c r="F58" s="17" t="str">
        <f t="shared" si="0"/>
        <v>MATCHED</v>
      </c>
    </row>
    <row r="59" spans="1:6" x14ac:dyDescent="0.3">
      <c r="A59" s="13" t="s">
        <v>77</v>
      </c>
      <c r="B59" s="14">
        <v>46268</v>
      </c>
      <c r="C59" s="15">
        <v>439400</v>
      </c>
      <c r="D59" s="16">
        <f>IFERROR(VLOOKUP(A59,Custodian_Records!A:F,2,FALSE),"NOT FOUND")</f>
        <v>46268</v>
      </c>
      <c r="E59" s="17">
        <f>IFERROR(VLOOKUP(Reconciliation!A59,Custodian_Records!A:F,6,FALSE),"NOT FOUND")</f>
        <v>439400</v>
      </c>
      <c r="F59" s="17" t="str">
        <f t="shared" si="0"/>
        <v>MATCHED</v>
      </c>
    </row>
    <row r="60" spans="1:6" x14ac:dyDescent="0.3">
      <c r="A60" s="13" t="s">
        <v>78</v>
      </c>
      <c r="B60" s="14">
        <v>46268</v>
      </c>
      <c r="C60" s="15">
        <v>99600</v>
      </c>
      <c r="D60" s="16">
        <f>IFERROR(VLOOKUP(A60,Custodian_Records!A:F,2,FALSE),"NOT FOUND")</f>
        <v>46268</v>
      </c>
      <c r="E60" s="17">
        <f>IFERROR(VLOOKUP(Reconciliation!A60,Custodian_Records!A:F,6,FALSE),"NOT FOUND")</f>
        <v>99600</v>
      </c>
      <c r="F60" s="17" t="str">
        <f t="shared" si="0"/>
        <v>MATCHED</v>
      </c>
    </row>
    <row r="61" spans="1:6" x14ac:dyDescent="0.3">
      <c r="A61" s="13" t="s">
        <v>79</v>
      </c>
      <c r="B61" s="14">
        <v>46266</v>
      </c>
      <c r="C61" s="15">
        <v>551500</v>
      </c>
      <c r="D61" s="16">
        <f>IFERROR(VLOOKUP(A61,Custodian_Records!A:F,2,FALSE),"NOT FOUND")</f>
        <v>46266</v>
      </c>
      <c r="E61" s="17">
        <f>IFERROR(VLOOKUP(Reconciliation!A61,Custodian_Records!A:F,6,FALSE),"NOT FOUND")</f>
        <v>551500</v>
      </c>
      <c r="F61" s="17" t="str">
        <f t="shared" si="0"/>
        <v>MATCHED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workbookViewId="0">
      <pane ySplit="1" topLeftCell="A2" activePane="bottomLeft" state="frozen"/>
      <selection pane="bottomLeft" activeCell="F2" sqref="F2:F61"/>
    </sheetView>
  </sheetViews>
  <sheetFormatPr defaultRowHeight="14.4" x14ac:dyDescent="0.3"/>
  <cols>
    <col min="1" max="1" width="12" customWidth="1"/>
    <col min="2" max="3" width="14" customWidth="1"/>
    <col min="4" max="4" width="8" customWidth="1"/>
    <col min="5" max="5" width="10" customWidth="1"/>
    <col min="6" max="6" width="1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>
        <v>46276</v>
      </c>
      <c r="C2" s="2" t="s">
        <v>7</v>
      </c>
      <c r="D2" s="2" t="s">
        <v>8</v>
      </c>
      <c r="E2" s="2">
        <v>200</v>
      </c>
      <c r="F2" s="4">
        <v>593200</v>
      </c>
    </row>
    <row r="3" spans="1:6" x14ac:dyDescent="0.3">
      <c r="A3" s="2" t="s">
        <v>9</v>
      </c>
      <c r="B3" s="3">
        <v>46268</v>
      </c>
      <c r="C3" s="2" t="s">
        <v>10</v>
      </c>
      <c r="D3" s="2" t="s">
        <v>8</v>
      </c>
      <c r="E3" s="2">
        <v>50</v>
      </c>
      <c r="F3" s="4">
        <v>89850</v>
      </c>
    </row>
    <row r="4" spans="1:6" x14ac:dyDescent="0.3">
      <c r="A4" s="2" t="s">
        <v>11</v>
      </c>
      <c r="B4" s="3">
        <v>46282</v>
      </c>
      <c r="C4" s="2" t="s">
        <v>12</v>
      </c>
      <c r="D4" s="2" t="s">
        <v>13</v>
      </c>
      <c r="E4" s="2">
        <v>50</v>
      </c>
      <c r="F4" s="4">
        <v>32600</v>
      </c>
    </row>
    <row r="5" spans="1:6" x14ac:dyDescent="0.3">
      <c r="A5" s="2" t="s">
        <v>14</v>
      </c>
      <c r="B5" s="3">
        <v>46279</v>
      </c>
      <c r="C5" s="2" t="s">
        <v>15</v>
      </c>
      <c r="D5" s="2" t="s">
        <v>13</v>
      </c>
      <c r="E5" s="2">
        <v>100</v>
      </c>
      <c r="F5" s="4">
        <v>67100</v>
      </c>
    </row>
    <row r="6" spans="1:6" x14ac:dyDescent="0.3">
      <c r="A6" s="2" t="s">
        <v>16</v>
      </c>
      <c r="B6" s="3">
        <v>46267</v>
      </c>
      <c r="C6" s="2" t="s">
        <v>17</v>
      </c>
      <c r="D6" s="2" t="s">
        <v>8</v>
      </c>
      <c r="E6" s="2">
        <v>50</v>
      </c>
      <c r="F6" s="4">
        <v>60700</v>
      </c>
    </row>
    <row r="7" spans="1:6" x14ac:dyDescent="0.3">
      <c r="A7" s="2" t="s">
        <v>18</v>
      </c>
      <c r="B7" s="3">
        <v>46284</v>
      </c>
      <c r="C7" s="2" t="s">
        <v>17</v>
      </c>
      <c r="D7" s="2" t="s">
        <v>8</v>
      </c>
      <c r="E7" s="2">
        <v>200</v>
      </c>
      <c r="F7" s="4">
        <v>100600</v>
      </c>
    </row>
    <row r="8" spans="1:6" x14ac:dyDescent="0.3">
      <c r="A8" s="2" t="s">
        <v>19</v>
      </c>
      <c r="B8" s="3">
        <v>46267</v>
      </c>
      <c r="C8" s="2" t="s">
        <v>10</v>
      </c>
      <c r="D8" s="2" t="s">
        <v>13</v>
      </c>
      <c r="E8" s="2">
        <v>100</v>
      </c>
      <c r="F8" s="4">
        <v>148600</v>
      </c>
    </row>
    <row r="9" spans="1:6" x14ac:dyDescent="0.3">
      <c r="A9" s="2" t="s">
        <v>20</v>
      </c>
      <c r="B9" s="3">
        <v>46270</v>
      </c>
      <c r="C9" s="2" t="s">
        <v>10</v>
      </c>
      <c r="D9" s="2" t="s">
        <v>13</v>
      </c>
      <c r="E9" s="2">
        <v>50</v>
      </c>
      <c r="F9" s="4">
        <v>131900</v>
      </c>
    </row>
    <row r="10" spans="1:6" x14ac:dyDescent="0.3">
      <c r="A10" s="2" t="s">
        <v>21</v>
      </c>
      <c r="B10" s="3">
        <v>46283</v>
      </c>
      <c r="C10" s="2" t="s">
        <v>22</v>
      </c>
      <c r="D10" s="2" t="s">
        <v>8</v>
      </c>
      <c r="E10" s="2">
        <v>100</v>
      </c>
      <c r="F10" s="4">
        <v>72200</v>
      </c>
    </row>
    <row r="11" spans="1:6" x14ac:dyDescent="0.3">
      <c r="A11" s="2" t="s">
        <v>23</v>
      </c>
      <c r="B11" s="3">
        <v>46277</v>
      </c>
      <c r="C11" s="2" t="s">
        <v>15</v>
      </c>
      <c r="D11" s="2" t="s">
        <v>8</v>
      </c>
      <c r="E11" s="2">
        <v>250</v>
      </c>
      <c r="F11" s="4">
        <v>804000</v>
      </c>
    </row>
    <row r="12" spans="1:6" x14ac:dyDescent="0.3">
      <c r="A12" s="2" t="s">
        <v>24</v>
      </c>
      <c r="B12" s="3">
        <v>46284</v>
      </c>
      <c r="C12" s="2" t="s">
        <v>25</v>
      </c>
      <c r="D12" s="2" t="s">
        <v>13</v>
      </c>
      <c r="E12" s="2">
        <v>250</v>
      </c>
      <c r="F12" s="4">
        <v>285750</v>
      </c>
    </row>
    <row r="13" spans="1:6" x14ac:dyDescent="0.3">
      <c r="A13" s="2" t="s">
        <v>26</v>
      </c>
      <c r="B13" s="3">
        <v>46283</v>
      </c>
      <c r="C13" s="2" t="s">
        <v>27</v>
      </c>
      <c r="D13" s="2" t="s">
        <v>13</v>
      </c>
      <c r="E13" s="2">
        <v>150</v>
      </c>
      <c r="F13" s="4">
        <v>331050</v>
      </c>
    </row>
    <row r="14" spans="1:6" x14ac:dyDescent="0.3">
      <c r="A14" s="2" t="s">
        <v>28</v>
      </c>
      <c r="B14" s="3">
        <v>46277</v>
      </c>
      <c r="C14" s="2" t="s">
        <v>29</v>
      </c>
      <c r="D14" s="2" t="s">
        <v>8</v>
      </c>
      <c r="E14" s="2">
        <v>100</v>
      </c>
      <c r="F14" s="4">
        <v>103600</v>
      </c>
    </row>
    <row r="15" spans="1:6" x14ac:dyDescent="0.3">
      <c r="A15" s="2" t="s">
        <v>30</v>
      </c>
      <c r="B15" s="3">
        <v>46268</v>
      </c>
      <c r="C15" s="2" t="s">
        <v>17</v>
      </c>
      <c r="D15" s="2" t="s">
        <v>13</v>
      </c>
      <c r="E15" s="2">
        <v>150</v>
      </c>
      <c r="F15" s="4">
        <v>367650</v>
      </c>
    </row>
    <row r="16" spans="1:6" x14ac:dyDescent="0.3">
      <c r="A16" s="2" t="s">
        <v>31</v>
      </c>
      <c r="B16" s="3">
        <v>46276</v>
      </c>
      <c r="C16" s="2" t="s">
        <v>32</v>
      </c>
      <c r="D16" s="2" t="s">
        <v>8</v>
      </c>
      <c r="E16" s="2">
        <v>200</v>
      </c>
      <c r="F16" s="4">
        <v>295800</v>
      </c>
    </row>
    <row r="17" spans="1:6" x14ac:dyDescent="0.3">
      <c r="A17" s="2" t="s">
        <v>33</v>
      </c>
      <c r="B17" s="3">
        <v>46269</v>
      </c>
      <c r="C17" s="2" t="s">
        <v>10</v>
      </c>
      <c r="D17" s="2" t="s">
        <v>13</v>
      </c>
      <c r="E17" s="2">
        <v>200</v>
      </c>
      <c r="F17" s="4">
        <v>195000</v>
      </c>
    </row>
    <row r="18" spans="1:6" x14ac:dyDescent="0.3">
      <c r="A18" s="2" t="s">
        <v>34</v>
      </c>
      <c r="B18" s="3">
        <v>46270</v>
      </c>
      <c r="C18" s="2" t="s">
        <v>35</v>
      </c>
      <c r="D18" s="2" t="s">
        <v>8</v>
      </c>
      <c r="E18" s="2">
        <v>200</v>
      </c>
      <c r="F18" s="4">
        <v>92000</v>
      </c>
    </row>
    <row r="19" spans="1:6" x14ac:dyDescent="0.3">
      <c r="A19" s="2" t="s">
        <v>36</v>
      </c>
      <c r="B19" s="3">
        <v>46283</v>
      </c>
      <c r="C19" s="2" t="s">
        <v>17</v>
      </c>
      <c r="D19" s="2" t="s">
        <v>13</v>
      </c>
      <c r="E19" s="2">
        <v>150</v>
      </c>
      <c r="F19" s="4">
        <v>253950</v>
      </c>
    </row>
    <row r="20" spans="1:6" x14ac:dyDescent="0.3">
      <c r="A20" s="2" t="s">
        <v>37</v>
      </c>
      <c r="B20" s="3">
        <v>46285</v>
      </c>
      <c r="C20" s="2" t="s">
        <v>35</v>
      </c>
      <c r="D20" s="2" t="s">
        <v>8</v>
      </c>
      <c r="E20" s="2">
        <v>250</v>
      </c>
      <c r="F20" s="4">
        <v>542000</v>
      </c>
    </row>
    <row r="21" spans="1:6" x14ac:dyDescent="0.3">
      <c r="A21" s="2" t="s">
        <v>38</v>
      </c>
      <c r="B21" s="3">
        <v>46268</v>
      </c>
      <c r="C21" s="2" t="s">
        <v>29</v>
      </c>
      <c r="D21" s="2" t="s">
        <v>8</v>
      </c>
      <c r="E21" s="2">
        <v>200</v>
      </c>
      <c r="F21" s="4">
        <v>631000</v>
      </c>
    </row>
    <row r="22" spans="1:6" x14ac:dyDescent="0.3">
      <c r="A22" s="2" t="s">
        <v>39</v>
      </c>
      <c r="B22" s="3">
        <v>46267</v>
      </c>
      <c r="C22" s="2" t="s">
        <v>32</v>
      </c>
      <c r="D22" s="2" t="s">
        <v>13</v>
      </c>
      <c r="E22" s="2">
        <v>500</v>
      </c>
      <c r="F22" s="4">
        <v>784000</v>
      </c>
    </row>
    <row r="23" spans="1:6" x14ac:dyDescent="0.3">
      <c r="A23" s="2" t="s">
        <v>40</v>
      </c>
      <c r="B23" s="3">
        <v>46275</v>
      </c>
      <c r="C23" s="2" t="s">
        <v>32</v>
      </c>
      <c r="D23" s="2" t="s">
        <v>13</v>
      </c>
      <c r="E23" s="2">
        <v>200</v>
      </c>
      <c r="F23" s="4">
        <v>607600</v>
      </c>
    </row>
    <row r="24" spans="1:6" x14ac:dyDescent="0.3">
      <c r="A24" s="2" t="s">
        <v>41</v>
      </c>
      <c r="B24" s="3">
        <v>46266</v>
      </c>
      <c r="C24" s="2" t="s">
        <v>35</v>
      </c>
      <c r="D24" s="2" t="s">
        <v>8</v>
      </c>
      <c r="E24" s="2">
        <v>150</v>
      </c>
      <c r="F24" s="4">
        <v>148200</v>
      </c>
    </row>
    <row r="25" spans="1:6" x14ac:dyDescent="0.3">
      <c r="A25" s="2" t="s">
        <v>42</v>
      </c>
      <c r="B25" s="3">
        <v>46281</v>
      </c>
      <c r="C25" s="2" t="s">
        <v>25</v>
      </c>
      <c r="D25" s="2" t="s">
        <v>13</v>
      </c>
      <c r="E25" s="2">
        <v>100</v>
      </c>
      <c r="F25" s="4">
        <v>344600</v>
      </c>
    </row>
    <row r="26" spans="1:6" x14ac:dyDescent="0.3">
      <c r="A26" s="2" t="s">
        <v>43</v>
      </c>
      <c r="B26" s="3">
        <v>46270</v>
      </c>
      <c r="C26" s="2" t="s">
        <v>32</v>
      </c>
      <c r="D26" s="2" t="s">
        <v>13</v>
      </c>
      <c r="E26" s="2">
        <v>100</v>
      </c>
      <c r="F26" s="4">
        <v>192900</v>
      </c>
    </row>
    <row r="27" spans="1:6" x14ac:dyDescent="0.3">
      <c r="A27" s="2" t="s">
        <v>44</v>
      </c>
      <c r="B27" s="3">
        <v>46281</v>
      </c>
      <c r="C27" s="2" t="s">
        <v>15</v>
      </c>
      <c r="D27" s="2" t="s">
        <v>13</v>
      </c>
      <c r="E27" s="2">
        <v>100</v>
      </c>
      <c r="F27" s="4">
        <v>213900</v>
      </c>
    </row>
    <row r="28" spans="1:6" x14ac:dyDescent="0.3">
      <c r="A28" s="2" t="s">
        <v>45</v>
      </c>
      <c r="B28" s="3">
        <v>46283</v>
      </c>
      <c r="C28" s="2" t="s">
        <v>29</v>
      </c>
      <c r="D28" s="2" t="s">
        <v>13</v>
      </c>
      <c r="E28" s="2">
        <v>100</v>
      </c>
      <c r="F28" s="4">
        <v>206300</v>
      </c>
    </row>
    <row r="29" spans="1:6" x14ac:dyDescent="0.3">
      <c r="A29" s="2" t="s">
        <v>46</v>
      </c>
      <c r="B29" s="3">
        <v>46279</v>
      </c>
      <c r="C29" s="2" t="s">
        <v>47</v>
      </c>
      <c r="D29" s="2" t="s">
        <v>8</v>
      </c>
      <c r="E29" s="2">
        <v>500</v>
      </c>
      <c r="F29" s="4">
        <v>929000</v>
      </c>
    </row>
    <row r="30" spans="1:6" x14ac:dyDescent="0.3">
      <c r="A30" s="2" t="s">
        <v>48</v>
      </c>
      <c r="B30" s="3">
        <v>46270</v>
      </c>
      <c r="C30" s="2" t="s">
        <v>15</v>
      </c>
      <c r="D30" s="2" t="s">
        <v>8</v>
      </c>
      <c r="E30" s="2">
        <v>100</v>
      </c>
      <c r="F30" s="4">
        <v>91900</v>
      </c>
    </row>
    <row r="31" spans="1:6" x14ac:dyDescent="0.3">
      <c r="A31" s="2" t="s">
        <v>49</v>
      </c>
      <c r="B31" s="3">
        <v>46273</v>
      </c>
      <c r="C31" s="2" t="s">
        <v>25</v>
      </c>
      <c r="D31" s="2" t="s">
        <v>8</v>
      </c>
      <c r="E31" s="2">
        <v>200</v>
      </c>
      <c r="F31" s="4">
        <v>542600</v>
      </c>
    </row>
    <row r="32" spans="1:6" x14ac:dyDescent="0.3">
      <c r="A32" s="2" t="s">
        <v>50</v>
      </c>
      <c r="B32" s="3">
        <v>46274</v>
      </c>
      <c r="C32" s="2" t="s">
        <v>29</v>
      </c>
      <c r="D32" s="2" t="s">
        <v>13</v>
      </c>
      <c r="E32" s="2">
        <v>50</v>
      </c>
      <c r="F32" s="4">
        <v>44800</v>
      </c>
    </row>
    <row r="33" spans="1:6" x14ac:dyDescent="0.3">
      <c r="A33" s="2" t="s">
        <v>51</v>
      </c>
      <c r="B33" s="3">
        <v>46283</v>
      </c>
      <c r="C33" s="2" t="s">
        <v>47</v>
      </c>
      <c r="D33" s="2" t="s">
        <v>13</v>
      </c>
      <c r="E33" s="2">
        <v>250</v>
      </c>
      <c r="F33" s="4">
        <v>654750</v>
      </c>
    </row>
    <row r="34" spans="1:6" x14ac:dyDescent="0.3">
      <c r="A34" s="2" t="s">
        <v>52</v>
      </c>
      <c r="B34" s="3">
        <v>46270</v>
      </c>
      <c r="C34" s="2" t="s">
        <v>32</v>
      </c>
      <c r="D34" s="2" t="s">
        <v>8</v>
      </c>
      <c r="E34" s="2">
        <v>250</v>
      </c>
      <c r="F34" s="4">
        <v>707250</v>
      </c>
    </row>
    <row r="35" spans="1:6" x14ac:dyDescent="0.3">
      <c r="A35" s="2" t="s">
        <v>53</v>
      </c>
      <c r="B35" s="3">
        <v>46280</v>
      </c>
      <c r="C35" s="2" t="s">
        <v>22</v>
      </c>
      <c r="D35" s="2" t="s">
        <v>13</v>
      </c>
      <c r="E35" s="2">
        <v>250</v>
      </c>
      <c r="F35" s="4">
        <v>476750</v>
      </c>
    </row>
    <row r="36" spans="1:6" x14ac:dyDescent="0.3">
      <c r="A36" s="2" t="s">
        <v>54</v>
      </c>
      <c r="B36" s="3">
        <v>46278</v>
      </c>
      <c r="C36" s="2" t="s">
        <v>27</v>
      </c>
      <c r="D36" s="2" t="s">
        <v>13</v>
      </c>
      <c r="E36" s="2">
        <v>50</v>
      </c>
      <c r="F36" s="4">
        <v>113600</v>
      </c>
    </row>
    <row r="37" spans="1:6" x14ac:dyDescent="0.3">
      <c r="A37" s="2" t="s">
        <v>55</v>
      </c>
      <c r="B37" s="3">
        <v>46267</v>
      </c>
      <c r="C37" s="2" t="s">
        <v>12</v>
      </c>
      <c r="D37" s="2" t="s">
        <v>13</v>
      </c>
      <c r="E37" s="2">
        <v>50</v>
      </c>
      <c r="F37" s="4">
        <v>57750</v>
      </c>
    </row>
    <row r="38" spans="1:6" x14ac:dyDescent="0.3">
      <c r="A38" s="2" t="s">
        <v>56</v>
      </c>
      <c r="B38" s="3">
        <v>46271</v>
      </c>
      <c r="C38" s="2" t="s">
        <v>15</v>
      </c>
      <c r="D38" s="2" t="s">
        <v>8</v>
      </c>
      <c r="E38" s="2">
        <v>150</v>
      </c>
      <c r="F38" s="4">
        <v>414000</v>
      </c>
    </row>
    <row r="39" spans="1:6" x14ac:dyDescent="0.3">
      <c r="A39" s="2" t="s">
        <v>57</v>
      </c>
      <c r="B39" s="3">
        <v>46269</v>
      </c>
      <c r="C39" s="2" t="s">
        <v>25</v>
      </c>
      <c r="D39" s="2" t="s">
        <v>8</v>
      </c>
      <c r="E39" s="2">
        <v>250</v>
      </c>
      <c r="F39" s="4">
        <v>229750</v>
      </c>
    </row>
    <row r="40" spans="1:6" x14ac:dyDescent="0.3">
      <c r="A40" s="2" t="s">
        <v>58</v>
      </c>
      <c r="B40" s="3">
        <v>46277</v>
      </c>
      <c r="C40" s="2" t="s">
        <v>17</v>
      </c>
      <c r="D40" s="2" t="s">
        <v>8</v>
      </c>
      <c r="E40" s="2">
        <v>50</v>
      </c>
      <c r="F40" s="4">
        <v>29400</v>
      </c>
    </row>
    <row r="41" spans="1:6" x14ac:dyDescent="0.3">
      <c r="A41" s="2" t="s">
        <v>59</v>
      </c>
      <c r="B41" s="3">
        <v>46285</v>
      </c>
      <c r="C41" s="2" t="s">
        <v>27</v>
      </c>
      <c r="D41" s="2" t="s">
        <v>13</v>
      </c>
      <c r="E41" s="2">
        <v>100</v>
      </c>
      <c r="F41" s="4">
        <v>289800</v>
      </c>
    </row>
    <row r="42" spans="1:6" x14ac:dyDescent="0.3">
      <c r="A42" s="2" t="s">
        <v>60</v>
      </c>
      <c r="B42" s="3">
        <v>46277</v>
      </c>
      <c r="C42" s="2" t="s">
        <v>17</v>
      </c>
      <c r="D42" s="2" t="s">
        <v>8</v>
      </c>
      <c r="E42" s="2">
        <v>150</v>
      </c>
      <c r="F42" s="4">
        <v>336300</v>
      </c>
    </row>
    <row r="43" spans="1:6" x14ac:dyDescent="0.3">
      <c r="A43" s="2" t="s">
        <v>61</v>
      </c>
      <c r="B43" s="3">
        <v>46269</v>
      </c>
      <c r="C43" s="2" t="s">
        <v>35</v>
      </c>
      <c r="D43" s="2" t="s">
        <v>13</v>
      </c>
      <c r="E43" s="2">
        <v>200</v>
      </c>
      <c r="F43" s="4">
        <v>453400</v>
      </c>
    </row>
    <row r="44" spans="1:6" x14ac:dyDescent="0.3">
      <c r="A44" s="2" t="s">
        <v>62</v>
      </c>
      <c r="B44" s="3">
        <v>46275</v>
      </c>
      <c r="C44" s="2" t="s">
        <v>15</v>
      </c>
      <c r="D44" s="2" t="s">
        <v>13</v>
      </c>
      <c r="E44" s="2">
        <v>100</v>
      </c>
      <c r="F44" s="4">
        <v>71800</v>
      </c>
    </row>
    <row r="45" spans="1:6" x14ac:dyDescent="0.3">
      <c r="A45" s="2" t="s">
        <v>63</v>
      </c>
      <c r="B45" s="3">
        <v>46274</v>
      </c>
      <c r="C45" s="2" t="s">
        <v>35</v>
      </c>
      <c r="D45" s="2" t="s">
        <v>8</v>
      </c>
      <c r="E45" s="2">
        <v>500</v>
      </c>
      <c r="F45" s="4">
        <v>480500</v>
      </c>
    </row>
    <row r="46" spans="1:6" x14ac:dyDescent="0.3">
      <c r="A46" s="2" t="s">
        <v>64</v>
      </c>
      <c r="B46" s="3">
        <v>46272</v>
      </c>
      <c r="C46" s="2" t="s">
        <v>10</v>
      </c>
      <c r="D46" s="2" t="s">
        <v>8</v>
      </c>
      <c r="E46" s="2">
        <v>150</v>
      </c>
      <c r="F46" s="4">
        <v>135000</v>
      </c>
    </row>
    <row r="47" spans="1:6" x14ac:dyDescent="0.3">
      <c r="A47" s="2" t="s">
        <v>65</v>
      </c>
      <c r="B47" s="3">
        <v>46282</v>
      </c>
      <c r="C47" s="2" t="s">
        <v>29</v>
      </c>
      <c r="D47" s="2" t="s">
        <v>13</v>
      </c>
      <c r="E47" s="2">
        <v>500</v>
      </c>
      <c r="F47" s="4">
        <v>336000</v>
      </c>
    </row>
    <row r="48" spans="1:6" x14ac:dyDescent="0.3">
      <c r="A48" s="2" t="s">
        <v>66</v>
      </c>
      <c r="B48" s="3">
        <v>46282</v>
      </c>
      <c r="C48" s="2" t="s">
        <v>47</v>
      </c>
      <c r="D48" s="2" t="s">
        <v>8</v>
      </c>
      <c r="E48" s="2">
        <v>100</v>
      </c>
      <c r="F48" s="4">
        <v>175600</v>
      </c>
    </row>
    <row r="49" spans="1:6" x14ac:dyDescent="0.3">
      <c r="A49" s="2" t="s">
        <v>67</v>
      </c>
      <c r="B49" s="3">
        <v>46283</v>
      </c>
      <c r="C49" s="2" t="s">
        <v>10</v>
      </c>
      <c r="D49" s="2" t="s">
        <v>8</v>
      </c>
      <c r="E49" s="2">
        <v>250</v>
      </c>
      <c r="F49" s="4">
        <v>412500</v>
      </c>
    </row>
    <row r="50" spans="1:6" x14ac:dyDescent="0.3">
      <c r="A50" s="2" t="s">
        <v>68</v>
      </c>
      <c r="B50" s="3">
        <v>46285</v>
      </c>
      <c r="C50" s="2" t="s">
        <v>12</v>
      </c>
      <c r="D50" s="2" t="s">
        <v>8</v>
      </c>
      <c r="E50" s="2">
        <v>100</v>
      </c>
      <c r="F50" s="4">
        <v>194100</v>
      </c>
    </row>
    <row r="51" spans="1:6" x14ac:dyDescent="0.3">
      <c r="A51" s="2" t="s">
        <v>69</v>
      </c>
      <c r="B51" s="3">
        <v>46272</v>
      </c>
      <c r="C51" s="2" t="s">
        <v>10</v>
      </c>
      <c r="D51" s="2" t="s">
        <v>8</v>
      </c>
      <c r="E51" s="2">
        <v>200</v>
      </c>
      <c r="F51" s="4">
        <v>351200</v>
      </c>
    </row>
    <row r="52" spans="1:6" x14ac:dyDescent="0.3">
      <c r="A52" s="2" t="s">
        <v>70</v>
      </c>
      <c r="B52" s="3">
        <v>46266</v>
      </c>
      <c r="C52" s="2" t="s">
        <v>29</v>
      </c>
      <c r="D52" s="2" t="s">
        <v>8</v>
      </c>
      <c r="E52" s="2">
        <v>200</v>
      </c>
      <c r="F52" s="4">
        <v>272200</v>
      </c>
    </row>
    <row r="53" spans="1:6" x14ac:dyDescent="0.3">
      <c r="A53" s="2" t="s">
        <v>71</v>
      </c>
      <c r="B53" s="3">
        <v>46285</v>
      </c>
      <c r="C53" s="2" t="s">
        <v>47</v>
      </c>
      <c r="D53" s="2" t="s">
        <v>13</v>
      </c>
      <c r="E53" s="2">
        <v>200</v>
      </c>
      <c r="F53" s="4">
        <v>652200</v>
      </c>
    </row>
    <row r="54" spans="1:6" x14ac:dyDescent="0.3">
      <c r="A54" s="2" t="s">
        <v>72</v>
      </c>
      <c r="B54" s="3">
        <v>46277</v>
      </c>
      <c r="C54" s="2" t="s">
        <v>15</v>
      </c>
      <c r="D54" s="2" t="s">
        <v>8</v>
      </c>
      <c r="E54" s="2">
        <v>100</v>
      </c>
      <c r="F54" s="4">
        <v>71800</v>
      </c>
    </row>
    <row r="55" spans="1:6" x14ac:dyDescent="0.3">
      <c r="A55" s="2" t="s">
        <v>73</v>
      </c>
      <c r="B55" s="3">
        <v>46281</v>
      </c>
      <c r="C55" s="2" t="s">
        <v>12</v>
      </c>
      <c r="D55" s="2" t="s">
        <v>13</v>
      </c>
      <c r="E55" s="2">
        <v>150</v>
      </c>
      <c r="F55" s="4">
        <v>170550</v>
      </c>
    </row>
    <row r="56" spans="1:6" x14ac:dyDescent="0.3">
      <c r="A56" s="2" t="s">
        <v>74</v>
      </c>
      <c r="B56" s="3">
        <v>46285</v>
      </c>
      <c r="C56" s="2" t="s">
        <v>17</v>
      </c>
      <c r="D56" s="2" t="s">
        <v>13</v>
      </c>
      <c r="E56" s="2">
        <v>50</v>
      </c>
      <c r="F56" s="4">
        <v>113150</v>
      </c>
    </row>
    <row r="57" spans="1:6" x14ac:dyDescent="0.3">
      <c r="A57" s="2" t="s">
        <v>75</v>
      </c>
      <c r="B57" s="3">
        <v>46286</v>
      </c>
      <c r="C57" s="2" t="s">
        <v>15</v>
      </c>
      <c r="D57" s="2" t="s">
        <v>13</v>
      </c>
      <c r="E57" s="2">
        <v>500</v>
      </c>
      <c r="F57" s="4">
        <v>395500</v>
      </c>
    </row>
    <row r="58" spans="1:6" x14ac:dyDescent="0.3">
      <c r="A58" s="2" t="s">
        <v>76</v>
      </c>
      <c r="B58" s="3">
        <v>46272</v>
      </c>
      <c r="C58" s="2" t="s">
        <v>35</v>
      </c>
      <c r="D58" s="2" t="s">
        <v>13</v>
      </c>
      <c r="E58" s="2">
        <v>100</v>
      </c>
      <c r="F58" s="4">
        <v>207700</v>
      </c>
    </row>
    <row r="59" spans="1:6" x14ac:dyDescent="0.3">
      <c r="A59" s="2" t="s">
        <v>77</v>
      </c>
      <c r="B59" s="3">
        <v>46268</v>
      </c>
      <c r="C59" s="2" t="s">
        <v>32</v>
      </c>
      <c r="D59" s="2" t="s">
        <v>13</v>
      </c>
      <c r="E59" s="2">
        <v>200</v>
      </c>
      <c r="F59" s="4">
        <v>439400</v>
      </c>
    </row>
    <row r="60" spans="1:6" x14ac:dyDescent="0.3">
      <c r="A60" s="2" t="s">
        <v>78</v>
      </c>
      <c r="B60" s="3">
        <v>46268</v>
      </c>
      <c r="C60" s="2" t="s">
        <v>32</v>
      </c>
      <c r="D60" s="2" t="s">
        <v>8</v>
      </c>
      <c r="E60" s="2">
        <v>100</v>
      </c>
      <c r="F60" s="4">
        <v>99600</v>
      </c>
    </row>
    <row r="61" spans="1:6" x14ac:dyDescent="0.3">
      <c r="A61" s="2" t="s">
        <v>79</v>
      </c>
      <c r="B61" s="3">
        <v>46266</v>
      </c>
      <c r="C61" s="2" t="s">
        <v>7</v>
      </c>
      <c r="D61" s="2" t="s">
        <v>8</v>
      </c>
      <c r="E61" s="2">
        <v>250</v>
      </c>
      <c r="F61" s="4">
        <v>551500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workbookViewId="0">
      <pane ySplit="1" topLeftCell="A10" activePane="bottomLeft" state="frozen"/>
      <selection pane="bottomLeft" activeCell="H11" sqref="H11"/>
    </sheetView>
  </sheetViews>
  <sheetFormatPr defaultRowHeight="14.4" x14ac:dyDescent="0.3"/>
  <cols>
    <col min="1" max="1" width="12" customWidth="1"/>
    <col min="2" max="3" width="14" customWidth="1"/>
    <col min="4" max="4" width="8" customWidth="1"/>
    <col min="5" max="5" width="10" customWidth="1"/>
    <col min="6" max="6" width="16" customWidth="1"/>
    <col min="7" max="7" width="15.77734375" customWidth="1"/>
  </cols>
  <sheetData>
    <row r="1" spans="1: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102</v>
      </c>
    </row>
    <row r="2" spans="1:7" x14ac:dyDescent="0.3">
      <c r="A2" s="7" t="s">
        <v>80</v>
      </c>
      <c r="B2" s="8">
        <v>46271</v>
      </c>
      <c r="C2" s="7" t="s">
        <v>7</v>
      </c>
      <c r="D2" s="7" t="s">
        <v>8</v>
      </c>
      <c r="E2" s="7">
        <v>100</v>
      </c>
      <c r="F2" s="9">
        <v>93200</v>
      </c>
      <c r="G2" s="20" t="str">
        <f>IF(COUNTIF(Bank_Records!A:A,A2)=0,"MISSING IN BANK","OK")</f>
        <v>MISSING IN BANK</v>
      </c>
    </row>
    <row r="3" spans="1:7" x14ac:dyDescent="0.3">
      <c r="A3" s="7" t="s">
        <v>49</v>
      </c>
      <c r="B3" s="8">
        <v>46273</v>
      </c>
      <c r="C3" s="7" t="s">
        <v>25</v>
      </c>
      <c r="D3" s="7" t="s">
        <v>8</v>
      </c>
      <c r="E3" s="7">
        <v>200</v>
      </c>
      <c r="F3" s="9">
        <v>542100</v>
      </c>
      <c r="G3" s="20" t="str">
        <f>IF(COUNTIF(Bank_Records!A:A,A3)=0,"MISSING IN BANK","OK")</f>
        <v>OK</v>
      </c>
    </row>
    <row r="4" spans="1:7" x14ac:dyDescent="0.3">
      <c r="A4" s="7" t="s">
        <v>11</v>
      </c>
      <c r="B4" s="8">
        <v>46282</v>
      </c>
      <c r="C4" s="7" t="s">
        <v>12</v>
      </c>
      <c r="D4" s="7" t="s">
        <v>13</v>
      </c>
      <c r="E4" s="7">
        <v>50</v>
      </c>
      <c r="F4" s="9">
        <v>32600</v>
      </c>
      <c r="G4" s="20" t="str">
        <f>IF(COUNTIF(Bank_Records!A:A,A4)=0,"MISSING IN BANK","OK")</f>
        <v>OK</v>
      </c>
    </row>
    <row r="5" spans="1:7" x14ac:dyDescent="0.3">
      <c r="A5" s="7" t="s">
        <v>53</v>
      </c>
      <c r="B5" s="8">
        <v>46280</v>
      </c>
      <c r="C5" s="7" t="s">
        <v>22</v>
      </c>
      <c r="D5" s="7" t="s">
        <v>13</v>
      </c>
      <c r="E5" s="7">
        <v>250</v>
      </c>
      <c r="F5" s="9">
        <v>476750</v>
      </c>
      <c r="G5" s="20" t="str">
        <f>IF(COUNTIF(Bank_Records!A:A,A5)=0,"MISSING IN BANK","OK")</f>
        <v>OK</v>
      </c>
    </row>
    <row r="6" spans="1:7" x14ac:dyDescent="0.3">
      <c r="A6" s="7" t="s">
        <v>20</v>
      </c>
      <c r="B6" s="8">
        <v>46270</v>
      </c>
      <c r="C6" s="7" t="s">
        <v>10</v>
      </c>
      <c r="D6" s="7" t="s">
        <v>13</v>
      </c>
      <c r="E6" s="7">
        <v>50</v>
      </c>
      <c r="F6" s="9">
        <v>131900</v>
      </c>
      <c r="G6" s="20" t="str">
        <f>IF(COUNTIF(Bank_Records!A:A,A6)=0,"MISSING IN BANK","OK")</f>
        <v>OK</v>
      </c>
    </row>
    <row r="7" spans="1:7" x14ac:dyDescent="0.3">
      <c r="A7" s="7" t="s">
        <v>19</v>
      </c>
      <c r="B7" s="8">
        <v>46267</v>
      </c>
      <c r="C7" s="7" t="s">
        <v>10</v>
      </c>
      <c r="D7" s="7" t="s">
        <v>13</v>
      </c>
      <c r="E7" s="7">
        <v>100</v>
      </c>
      <c r="F7" s="9">
        <v>148600</v>
      </c>
      <c r="G7" s="20" t="str">
        <f>IF(COUNTIF(Bank_Records!A:A,A7)=0,"MISSING IN BANK","OK")</f>
        <v>OK</v>
      </c>
    </row>
    <row r="8" spans="1:7" x14ac:dyDescent="0.3">
      <c r="A8" s="7" t="s">
        <v>79</v>
      </c>
      <c r="B8" s="8">
        <v>46266</v>
      </c>
      <c r="C8" s="7" t="s">
        <v>7</v>
      </c>
      <c r="D8" s="7" t="s">
        <v>8</v>
      </c>
      <c r="E8" s="7">
        <v>250</v>
      </c>
      <c r="F8" s="9">
        <v>551500</v>
      </c>
      <c r="G8" s="20" t="str">
        <f>IF(COUNTIF(Bank_Records!A:A,A8)=0,"MISSING IN BANK","OK")</f>
        <v>OK</v>
      </c>
    </row>
    <row r="9" spans="1:7" x14ac:dyDescent="0.3">
      <c r="A9" s="7" t="s">
        <v>65</v>
      </c>
      <c r="B9" s="8">
        <v>46282</v>
      </c>
      <c r="C9" s="7" t="s">
        <v>29</v>
      </c>
      <c r="D9" s="7" t="s">
        <v>13</v>
      </c>
      <c r="E9" s="7">
        <v>500</v>
      </c>
      <c r="F9" s="9">
        <v>336000</v>
      </c>
      <c r="G9" s="20" t="str">
        <f>IF(COUNTIF(Bank_Records!A:A,A9)=0,"MISSING IN BANK","OK")</f>
        <v>OK</v>
      </c>
    </row>
    <row r="10" spans="1:7" x14ac:dyDescent="0.3">
      <c r="A10" s="7" t="s">
        <v>58</v>
      </c>
      <c r="B10" s="8">
        <v>46277</v>
      </c>
      <c r="C10" s="7" t="s">
        <v>17</v>
      </c>
      <c r="D10" s="7" t="s">
        <v>8</v>
      </c>
      <c r="E10" s="7">
        <v>50</v>
      </c>
      <c r="F10" s="9">
        <v>29400</v>
      </c>
      <c r="G10" s="20" t="str">
        <f>IF(COUNTIF(Bank_Records!A:A,A10)=0,"MISSING IN BANK","OK")</f>
        <v>OK</v>
      </c>
    </row>
    <row r="11" spans="1:7" x14ac:dyDescent="0.3">
      <c r="A11" s="7" t="s">
        <v>41</v>
      </c>
      <c r="B11" s="8">
        <v>46266</v>
      </c>
      <c r="C11" s="7" t="s">
        <v>35</v>
      </c>
      <c r="D11" s="7" t="s">
        <v>8</v>
      </c>
      <c r="E11" s="7">
        <v>150</v>
      </c>
      <c r="F11" s="9">
        <v>148200</v>
      </c>
      <c r="G11" s="20" t="str">
        <f>IF(COUNTIF(Bank_Records!A:A,A11)=0,"MISSING IN BANK","OK")</f>
        <v>OK</v>
      </c>
    </row>
    <row r="12" spans="1:7" x14ac:dyDescent="0.3">
      <c r="A12" s="7" t="s">
        <v>66</v>
      </c>
      <c r="B12" s="8">
        <v>46282</v>
      </c>
      <c r="C12" s="7" t="s">
        <v>47</v>
      </c>
      <c r="D12" s="7" t="s">
        <v>8</v>
      </c>
      <c r="E12" s="7">
        <v>100</v>
      </c>
      <c r="F12" s="9">
        <v>175600</v>
      </c>
      <c r="G12" s="20" t="str">
        <f>IF(COUNTIF(Bank_Records!A:A,A12)=0,"MISSING IN BANK","OK")</f>
        <v>OK</v>
      </c>
    </row>
    <row r="13" spans="1:7" x14ac:dyDescent="0.3">
      <c r="A13" s="7" t="s">
        <v>60</v>
      </c>
      <c r="B13" s="8">
        <v>46277</v>
      </c>
      <c r="C13" s="7" t="s">
        <v>17</v>
      </c>
      <c r="D13" s="7" t="s">
        <v>8</v>
      </c>
      <c r="E13" s="7">
        <v>150</v>
      </c>
      <c r="F13" s="9">
        <v>336300</v>
      </c>
      <c r="G13" s="20" t="str">
        <f>IF(COUNTIF(Bank_Records!A:A,A13)=0,"MISSING IN BANK","OK")</f>
        <v>OK</v>
      </c>
    </row>
    <row r="14" spans="1:7" x14ac:dyDescent="0.3">
      <c r="A14" s="7" t="s">
        <v>67</v>
      </c>
      <c r="B14" s="8">
        <v>46283</v>
      </c>
      <c r="C14" s="7" t="s">
        <v>10</v>
      </c>
      <c r="D14" s="7" t="s">
        <v>8</v>
      </c>
      <c r="E14" s="7">
        <v>250</v>
      </c>
      <c r="F14" s="9">
        <v>412500</v>
      </c>
      <c r="G14" s="20" t="str">
        <f>IF(COUNTIF(Bank_Records!A:A,A14)=0,"MISSING IN BANK","OK")</f>
        <v>OK</v>
      </c>
    </row>
    <row r="15" spans="1:7" x14ac:dyDescent="0.3">
      <c r="A15" s="7" t="s">
        <v>33</v>
      </c>
      <c r="B15" s="8">
        <v>46269</v>
      </c>
      <c r="C15" s="7" t="s">
        <v>10</v>
      </c>
      <c r="D15" s="7" t="s">
        <v>13</v>
      </c>
      <c r="E15" s="7">
        <v>200</v>
      </c>
      <c r="F15" s="9">
        <v>195000</v>
      </c>
      <c r="G15" s="20" t="str">
        <f>IF(COUNTIF(Bank_Records!A:A,A15)=0,"MISSING IN BANK","OK")</f>
        <v>OK</v>
      </c>
    </row>
    <row r="16" spans="1:7" x14ac:dyDescent="0.3">
      <c r="A16" s="7" t="s">
        <v>28</v>
      </c>
      <c r="B16" s="8">
        <v>46277</v>
      </c>
      <c r="C16" s="7" t="s">
        <v>29</v>
      </c>
      <c r="D16" s="7" t="s">
        <v>8</v>
      </c>
      <c r="E16" s="7">
        <v>100</v>
      </c>
      <c r="F16" s="9">
        <v>103600</v>
      </c>
      <c r="G16" s="20" t="str">
        <f>IF(COUNTIF(Bank_Records!A:A,A16)=0,"MISSING IN BANK","OK")</f>
        <v>OK</v>
      </c>
    </row>
    <row r="17" spans="1:7" x14ac:dyDescent="0.3">
      <c r="A17" s="7" t="s">
        <v>44</v>
      </c>
      <c r="B17" s="8">
        <v>46281</v>
      </c>
      <c r="C17" s="7" t="s">
        <v>15</v>
      </c>
      <c r="D17" s="7" t="s">
        <v>13</v>
      </c>
      <c r="E17" s="7">
        <v>100</v>
      </c>
      <c r="F17" s="9">
        <v>213900</v>
      </c>
      <c r="G17" s="20" t="str">
        <f>IF(COUNTIF(Bank_Records!A:A,A17)=0,"MISSING IN BANK","OK")</f>
        <v>OK</v>
      </c>
    </row>
    <row r="18" spans="1:7" x14ac:dyDescent="0.3">
      <c r="A18" s="7" t="s">
        <v>74</v>
      </c>
      <c r="B18" s="8">
        <v>46285</v>
      </c>
      <c r="C18" s="7" t="s">
        <v>17</v>
      </c>
      <c r="D18" s="7" t="s">
        <v>13</v>
      </c>
      <c r="E18" s="7">
        <v>50</v>
      </c>
      <c r="F18" s="9">
        <v>113150</v>
      </c>
      <c r="G18" s="20" t="str">
        <f>IF(COUNTIF(Bank_Records!A:A,A18)=0,"MISSING IN BANK","OK")</f>
        <v>OK</v>
      </c>
    </row>
    <row r="19" spans="1:7" x14ac:dyDescent="0.3">
      <c r="A19" s="7" t="s">
        <v>73</v>
      </c>
      <c r="B19" s="8">
        <v>46281</v>
      </c>
      <c r="C19" s="7" t="s">
        <v>12</v>
      </c>
      <c r="D19" s="7" t="s">
        <v>13</v>
      </c>
      <c r="E19" s="7">
        <v>150</v>
      </c>
      <c r="F19" s="9">
        <v>170550</v>
      </c>
      <c r="G19" s="20" t="str">
        <f>IF(COUNTIF(Bank_Records!A:A,A19)=0,"MISSING IN BANK","OK")</f>
        <v>OK</v>
      </c>
    </row>
    <row r="20" spans="1:7" x14ac:dyDescent="0.3">
      <c r="A20" s="7" t="s">
        <v>24</v>
      </c>
      <c r="B20" s="8">
        <v>46284</v>
      </c>
      <c r="C20" s="7" t="s">
        <v>25</v>
      </c>
      <c r="D20" s="7" t="s">
        <v>13</v>
      </c>
      <c r="E20" s="7">
        <v>250</v>
      </c>
      <c r="F20" s="9">
        <v>285750</v>
      </c>
      <c r="G20" s="20" t="str">
        <f>IF(COUNTIF(Bank_Records!A:A,A20)=0,"MISSING IN BANK","OK")</f>
        <v>OK</v>
      </c>
    </row>
    <row r="21" spans="1:7" x14ac:dyDescent="0.3">
      <c r="A21" s="7" t="s">
        <v>57</v>
      </c>
      <c r="B21" s="8">
        <v>46269</v>
      </c>
      <c r="C21" s="7" t="s">
        <v>25</v>
      </c>
      <c r="D21" s="7" t="s">
        <v>8</v>
      </c>
      <c r="E21" s="7">
        <v>250</v>
      </c>
      <c r="F21" s="9">
        <v>229750</v>
      </c>
      <c r="G21" s="20" t="str">
        <f>IF(COUNTIF(Bank_Records!A:A,A21)=0,"MISSING IN BANK","OK")</f>
        <v>OK</v>
      </c>
    </row>
    <row r="22" spans="1:7" x14ac:dyDescent="0.3">
      <c r="A22" s="7" t="s">
        <v>37</v>
      </c>
      <c r="B22" s="8">
        <v>46285</v>
      </c>
      <c r="C22" s="7" t="s">
        <v>35</v>
      </c>
      <c r="D22" s="7" t="s">
        <v>8</v>
      </c>
      <c r="E22" s="7">
        <v>250</v>
      </c>
      <c r="F22" s="9">
        <v>542000</v>
      </c>
      <c r="G22" s="20" t="str">
        <f>IF(COUNTIF(Bank_Records!A:A,A22)=0,"MISSING IN BANK","OK")</f>
        <v>OK</v>
      </c>
    </row>
    <row r="23" spans="1:7" x14ac:dyDescent="0.3">
      <c r="A23" s="7" t="s">
        <v>69</v>
      </c>
      <c r="B23" s="8">
        <v>46272</v>
      </c>
      <c r="C23" s="7" t="s">
        <v>10</v>
      </c>
      <c r="D23" s="7" t="s">
        <v>8</v>
      </c>
      <c r="E23" s="7">
        <v>200</v>
      </c>
      <c r="F23" s="9">
        <v>351200</v>
      </c>
      <c r="G23" s="20" t="str">
        <f>IF(COUNTIF(Bank_Records!A:A,A23)=0,"MISSING IN BANK","OK")</f>
        <v>OK</v>
      </c>
    </row>
    <row r="24" spans="1:7" x14ac:dyDescent="0.3">
      <c r="A24" s="7" t="s">
        <v>52</v>
      </c>
      <c r="B24" s="8">
        <v>46270</v>
      </c>
      <c r="C24" s="7" t="s">
        <v>32</v>
      </c>
      <c r="D24" s="7" t="s">
        <v>8</v>
      </c>
      <c r="E24" s="7">
        <v>250</v>
      </c>
      <c r="F24" s="9">
        <v>707250</v>
      </c>
      <c r="G24" s="20" t="str">
        <f>IF(COUNTIF(Bank_Records!A:A,A24)=0,"MISSING IN BANK","OK")</f>
        <v>OK</v>
      </c>
    </row>
    <row r="25" spans="1:7" x14ac:dyDescent="0.3">
      <c r="A25" s="7" t="s">
        <v>77</v>
      </c>
      <c r="B25" s="8">
        <v>46268</v>
      </c>
      <c r="C25" s="7" t="s">
        <v>32</v>
      </c>
      <c r="D25" s="7" t="s">
        <v>13</v>
      </c>
      <c r="E25" s="7">
        <v>200</v>
      </c>
      <c r="F25" s="9">
        <v>439400</v>
      </c>
      <c r="G25" s="20" t="str">
        <f>IF(COUNTIF(Bank_Records!A:A,A25)=0,"MISSING IN BANK","OK")</f>
        <v>OK</v>
      </c>
    </row>
    <row r="26" spans="1:7" x14ac:dyDescent="0.3">
      <c r="A26" s="7" t="s">
        <v>62</v>
      </c>
      <c r="B26" s="8">
        <v>46275</v>
      </c>
      <c r="C26" s="7" t="s">
        <v>15</v>
      </c>
      <c r="D26" s="7" t="s">
        <v>13</v>
      </c>
      <c r="E26" s="7">
        <v>100</v>
      </c>
      <c r="F26" s="9">
        <v>71800</v>
      </c>
      <c r="G26" s="20" t="str">
        <f>IF(COUNTIF(Bank_Records!A:A,A26)=0,"MISSING IN BANK","OK")</f>
        <v>OK</v>
      </c>
    </row>
    <row r="27" spans="1:7" x14ac:dyDescent="0.3">
      <c r="A27" s="7" t="s">
        <v>18</v>
      </c>
      <c r="B27" s="8">
        <v>46284</v>
      </c>
      <c r="C27" s="7" t="s">
        <v>17</v>
      </c>
      <c r="D27" s="7" t="s">
        <v>8</v>
      </c>
      <c r="E27" s="7">
        <v>200</v>
      </c>
      <c r="F27" s="9">
        <v>100600</v>
      </c>
      <c r="G27" s="20" t="str">
        <f>IF(COUNTIF(Bank_Records!A:A,A27)=0,"MISSING IN BANK","OK")</f>
        <v>OK</v>
      </c>
    </row>
    <row r="28" spans="1:7" x14ac:dyDescent="0.3">
      <c r="A28" s="7" t="s">
        <v>16</v>
      </c>
      <c r="B28" s="8">
        <v>46267</v>
      </c>
      <c r="C28" s="7" t="s">
        <v>17</v>
      </c>
      <c r="D28" s="7" t="s">
        <v>8</v>
      </c>
      <c r="E28" s="7">
        <v>50</v>
      </c>
      <c r="F28" s="9">
        <v>63200</v>
      </c>
      <c r="G28" s="20" t="str">
        <f>IF(COUNTIF(Bank_Records!A:A,A28)=0,"MISSING IN BANK","OK")</f>
        <v>OK</v>
      </c>
    </row>
    <row r="29" spans="1:7" x14ac:dyDescent="0.3">
      <c r="A29" s="7" t="s">
        <v>46</v>
      </c>
      <c r="B29" s="8">
        <v>46279</v>
      </c>
      <c r="C29" s="7" t="s">
        <v>47</v>
      </c>
      <c r="D29" s="7" t="s">
        <v>8</v>
      </c>
      <c r="E29" s="7">
        <v>500</v>
      </c>
      <c r="F29" s="9">
        <v>929000</v>
      </c>
      <c r="G29" s="20" t="str">
        <f>IF(COUNTIF(Bank_Records!A:A,A29)=0,"MISSING IN BANK","OK")</f>
        <v>OK</v>
      </c>
    </row>
    <row r="30" spans="1:7" x14ac:dyDescent="0.3">
      <c r="A30" s="7" t="s">
        <v>45</v>
      </c>
      <c r="B30" s="8">
        <v>46283</v>
      </c>
      <c r="C30" s="7" t="s">
        <v>29</v>
      </c>
      <c r="D30" s="7" t="s">
        <v>13</v>
      </c>
      <c r="E30" s="7">
        <v>100</v>
      </c>
      <c r="F30" s="9">
        <v>206300</v>
      </c>
      <c r="G30" s="20" t="str">
        <f>IF(COUNTIF(Bank_Records!A:A,A30)=0,"MISSING IN BANK","OK")</f>
        <v>OK</v>
      </c>
    </row>
    <row r="31" spans="1:7" x14ac:dyDescent="0.3">
      <c r="A31" s="7" t="s">
        <v>6</v>
      </c>
      <c r="B31" s="8">
        <v>46276</v>
      </c>
      <c r="C31" s="7" t="s">
        <v>7</v>
      </c>
      <c r="D31" s="7" t="s">
        <v>8</v>
      </c>
      <c r="E31" s="7">
        <v>200</v>
      </c>
      <c r="F31" s="9">
        <v>593200</v>
      </c>
      <c r="G31" s="20" t="str">
        <f>IF(COUNTIF(Bank_Records!A:A,A31)=0,"MISSING IN BANK","OK")</f>
        <v>OK</v>
      </c>
    </row>
    <row r="32" spans="1:7" x14ac:dyDescent="0.3">
      <c r="A32" s="7" t="s">
        <v>39</v>
      </c>
      <c r="B32" s="8">
        <v>46267</v>
      </c>
      <c r="C32" s="7" t="s">
        <v>32</v>
      </c>
      <c r="D32" s="7" t="s">
        <v>13</v>
      </c>
      <c r="E32" s="7">
        <v>500</v>
      </c>
      <c r="F32" s="9">
        <v>784000</v>
      </c>
      <c r="G32" s="20" t="str">
        <f>IF(COUNTIF(Bank_Records!A:A,A32)=0,"MISSING IN BANK","OK")</f>
        <v>OK</v>
      </c>
    </row>
    <row r="33" spans="1:7" x14ac:dyDescent="0.3">
      <c r="A33" s="7" t="s">
        <v>26</v>
      </c>
      <c r="B33" s="8">
        <v>46283</v>
      </c>
      <c r="C33" s="7" t="s">
        <v>27</v>
      </c>
      <c r="D33" s="7" t="s">
        <v>13</v>
      </c>
      <c r="E33" s="7">
        <v>150</v>
      </c>
      <c r="F33" s="9">
        <v>331050</v>
      </c>
      <c r="G33" s="20" t="str">
        <f>IF(COUNTIF(Bank_Records!A:A,A33)=0,"MISSING IN BANK","OK")</f>
        <v>OK</v>
      </c>
    </row>
    <row r="34" spans="1:7" x14ac:dyDescent="0.3">
      <c r="A34" s="7" t="s">
        <v>50</v>
      </c>
      <c r="B34" s="8">
        <v>46274</v>
      </c>
      <c r="C34" s="7" t="s">
        <v>29</v>
      </c>
      <c r="D34" s="7" t="s">
        <v>13</v>
      </c>
      <c r="E34" s="7">
        <v>50</v>
      </c>
      <c r="F34" s="9">
        <v>44800</v>
      </c>
      <c r="G34" s="20" t="str">
        <f>IF(COUNTIF(Bank_Records!A:A,A34)=0,"MISSING IN BANK","OK")</f>
        <v>OK</v>
      </c>
    </row>
    <row r="35" spans="1:7" x14ac:dyDescent="0.3">
      <c r="A35" s="7" t="s">
        <v>9</v>
      </c>
      <c r="B35" s="8">
        <v>46268</v>
      </c>
      <c r="C35" s="7" t="s">
        <v>10</v>
      </c>
      <c r="D35" s="7" t="s">
        <v>8</v>
      </c>
      <c r="E35" s="7">
        <v>50</v>
      </c>
      <c r="F35" s="9">
        <v>89850</v>
      </c>
      <c r="G35" s="20" t="str">
        <f>IF(COUNTIF(Bank_Records!A:A,A35)=0,"MISSING IN BANK","OK")</f>
        <v>OK</v>
      </c>
    </row>
    <row r="36" spans="1:7" x14ac:dyDescent="0.3">
      <c r="A36" s="7" t="s">
        <v>61</v>
      </c>
      <c r="B36" s="8">
        <v>46269</v>
      </c>
      <c r="C36" s="7" t="s">
        <v>35</v>
      </c>
      <c r="D36" s="7" t="s">
        <v>13</v>
      </c>
      <c r="E36" s="7">
        <v>200</v>
      </c>
      <c r="F36" s="9">
        <v>452200</v>
      </c>
      <c r="G36" s="20" t="str">
        <f>IF(COUNTIF(Bank_Records!A:A,A36)=0,"MISSING IN BANK","OK")</f>
        <v>OK</v>
      </c>
    </row>
    <row r="37" spans="1:7" x14ac:dyDescent="0.3">
      <c r="A37" s="7" t="s">
        <v>63</v>
      </c>
      <c r="B37" s="8">
        <v>46274</v>
      </c>
      <c r="C37" s="7" t="s">
        <v>35</v>
      </c>
      <c r="D37" s="7" t="s">
        <v>8</v>
      </c>
      <c r="E37" s="7">
        <v>500</v>
      </c>
      <c r="F37" s="9">
        <v>480500</v>
      </c>
      <c r="G37" s="20" t="str">
        <f>IF(COUNTIF(Bank_Records!A:A,A37)=0,"MISSING IN BANK","OK")</f>
        <v>OK</v>
      </c>
    </row>
    <row r="38" spans="1:7" x14ac:dyDescent="0.3">
      <c r="A38" s="7" t="s">
        <v>23</v>
      </c>
      <c r="B38" s="8">
        <v>46278</v>
      </c>
      <c r="C38" s="7" t="s">
        <v>15</v>
      </c>
      <c r="D38" s="7" t="s">
        <v>8</v>
      </c>
      <c r="E38" s="7">
        <v>250</v>
      </c>
      <c r="F38" s="9">
        <v>804000</v>
      </c>
      <c r="G38" s="20" t="str">
        <f>IF(COUNTIF(Bank_Records!A:A,A38)=0,"MISSING IN BANK","OK")</f>
        <v>OK</v>
      </c>
    </row>
    <row r="39" spans="1:7" x14ac:dyDescent="0.3">
      <c r="A39" s="7" t="s">
        <v>72</v>
      </c>
      <c r="B39" s="8">
        <v>46277</v>
      </c>
      <c r="C39" s="7" t="s">
        <v>15</v>
      </c>
      <c r="D39" s="7" t="s">
        <v>8</v>
      </c>
      <c r="E39" s="7">
        <v>100</v>
      </c>
      <c r="F39" s="9">
        <v>71800</v>
      </c>
      <c r="G39" s="20" t="str">
        <f>IF(COUNTIF(Bank_Records!A:A,A39)=0,"MISSING IN BANK","OK")</f>
        <v>OK</v>
      </c>
    </row>
    <row r="40" spans="1:7" x14ac:dyDescent="0.3">
      <c r="A40" s="7" t="s">
        <v>70</v>
      </c>
      <c r="B40" s="8">
        <v>46266</v>
      </c>
      <c r="C40" s="7" t="s">
        <v>29</v>
      </c>
      <c r="D40" s="7" t="s">
        <v>8</v>
      </c>
      <c r="E40" s="7">
        <v>200</v>
      </c>
      <c r="F40" s="9">
        <v>272200</v>
      </c>
      <c r="G40" s="20" t="str">
        <f>IF(COUNTIF(Bank_Records!A:A,A40)=0,"MISSING IN BANK","OK")</f>
        <v>OK</v>
      </c>
    </row>
    <row r="41" spans="1:7" x14ac:dyDescent="0.3">
      <c r="A41" s="7" t="s">
        <v>78</v>
      </c>
      <c r="B41" s="8">
        <v>46268</v>
      </c>
      <c r="C41" s="7" t="s">
        <v>32</v>
      </c>
      <c r="D41" s="7" t="s">
        <v>8</v>
      </c>
      <c r="E41" s="7">
        <v>100</v>
      </c>
      <c r="F41" s="9">
        <v>99600</v>
      </c>
      <c r="G41" s="20" t="str">
        <f>IF(COUNTIF(Bank_Records!A:A,A41)=0,"MISSING IN BANK","OK")</f>
        <v>OK</v>
      </c>
    </row>
    <row r="42" spans="1:7" x14ac:dyDescent="0.3">
      <c r="A42" s="7" t="s">
        <v>76</v>
      </c>
      <c r="B42" s="8">
        <v>46272</v>
      </c>
      <c r="C42" s="7" t="s">
        <v>35</v>
      </c>
      <c r="D42" s="7" t="s">
        <v>13</v>
      </c>
      <c r="E42" s="7">
        <v>100</v>
      </c>
      <c r="F42" s="9">
        <v>207700</v>
      </c>
      <c r="G42" s="20" t="str">
        <f>IF(COUNTIF(Bank_Records!A:A,A42)=0,"MISSING IN BANK","OK")</f>
        <v>OK</v>
      </c>
    </row>
    <row r="43" spans="1:7" x14ac:dyDescent="0.3">
      <c r="A43" s="7" t="s">
        <v>55</v>
      </c>
      <c r="B43" s="8">
        <v>46267</v>
      </c>
      <c r="C43" s="7" t="s">
        <v>12</v>
      </c>
      <c r="D43" s="7" t="s">
        <v>13</v>
      </c>
      <c r="E43" s="7">
        <v>50</v>
      </c>
      <c r="F43" s="9">
        <v>57750</v>
      </c>
      <c r="G43" s="20" t="str">
        <f>IF(COUNTIF(Bank_Records!A:A,A43)=0,"MISSING IN BANK","OK")</f>
        <v>OK</v>
      </c>
    </row>
    <row r="44" spans="1:7" x14ac:dyDescent="0.3">
      <c r="A44" s="7" t="s">
        <v>75</v>
      </c>
      <c r="B44" s="8">
        <v>46286</v>
      </c>
      <c r="C44" s="7" t="s">
        <v>15</v>
      </c>
      <c r="D44" s="7" t="s">
        <v>13</v>
      </c>
      <c r="E44" s="7">
        <v>500</v>
      </c>
      <c r="F44" s="9">
        <v>396700</v>
      </c>
      <c r="G44" s="20" t="str">
        <f>IF(COUNTIF(Bank_Records!A:A,A44)=0,"MISSING IN BANK","OK")</f>
        <v>OK</v>
      </c>
    </row>
    <row r="45" spans="1:7" x14ac:dyDescent="0.3">
      <c r="A45" s="7" t="s">
        <v>64</v>
      </c>
      <c r="B45" s="8">
        <v>46272</v>
      </c>
      <c r="C45" s="7" t="s">
        <v>10</v>
      </c>
      <c r="D45" s="7" t="s">
        <v>8</v>
      </c>
      <c r="E45" s="7">
        <v>150</v>
      </c>
      <c r="F45" s="9">
        <v>135000</v>
      </c>
      <c r="G45" s="20" t="str">
        <f>IF(COUNTIF(Bank_Records!A:A,A45)=0,"MISSING IN BANK","OK")</f>
        <v>OK</v>
      </c>
    </row>
    <row r="46" spans="1:7" x14ac:dyDescent="0.3">
      <c r="A46" s="7" t="s">
        <v>51</v>
      </c>
      <c r="B46" s="8">
        <v>46283</v>
      </c>
      <c r="C46" s="7" t="s">
        <v>47</v>
      </c>
      <c r="D46" s="7" t="s">
        <v>13</v>
      </c>
      <c r="E46" s="7">
        <v>250</v>
      </c>
      <c r="F46" s="9">
        <v>654750</v>
      </c>
      <c r="G46" s="20" t="str">
        <f>IF(COUNTIF(Bank_Records!A:A,A46)=0,"MISSING IN BANK","OK")</f>
        <v>OK</v>
      </c>
    </row>
    <row r="47" spans="1:7" x14ac:dyDescent="0.3">
      <c r="A47" s="7" t="s">
        <v>42</v>
      </c>
      <c r="B47" s="8">
        <v>46281</v>
      </c>
      <c r="C47" s="7" t="s">
        <v>25</v>
      </c>
      <c r="D47" s="7" t="s">
        <v>13</v>
      </c>
      <c r="E47" s="7">
        <v>100</v>
      </c>
      <c r="F47" s="9">
        <v>344600</v>
      </c>
      <c r="G47" s="20" t="str">
        <f>IF(COUNTIF(Bank_Records!A:A,A47)=0,"MISSING IN BANK","OK")</f>
        <v>OK</v>
      </c>
    </row>
    <row r="48" spans="1:7" x14ac:dyDescent="0.3">
      <c r="A48" s="7" t="s">
        <v>14</v>
      </c>
      <c r="B48" s="8">
        <v>46279</v>
      </c>
      <c r="C48" s="7" t="s">
        <v>15</v>
      </c>
      <c r="D48" s="7" t="s">
        <v>13</v>
      </c>
      <c r="E48" s="7">
        <v>100</v>
      </c>
      <c r="F48" s="9">
        <v>67100</v>
      </c>
      <c r="G48" s="20" t="str">
        <f>IF(COUNTIF(Bank_Records!A:A,A48)=0,"MISSING IN BANK","OK")</f>
        <v>OK</v>
      </c>
    </row>
    <row r="49" spans="1:7" x14ac:dyDescent="0.3">
      <c r="A49" s="7" t="s">
        <v>21</v>
      </c>
      <c r="B49" s="8">
        <v>46283</v>
      </c>
      <c r="C49" s="7" t="s">
        <v>22</v>
      </c>
      <c r="D49" s="7" t="s">
        <v>8</v>
      </c>
      <c r="E49" s="7">
        <v>100</v>
      </c>
      <c r="F49" s="9">
        <v>72200</v>
      </c>
      <c r="G49" s="20" t="str">
        <f>IF(COUNTIF(Bank_Records!A:A,A49)=0,"MISSING IN BANK","OK")</f>
        <v>OK</v>
      </c>
    </row>
    <row r="50" spans="1:7" x14ac:dyDescent="0.3">
      <c r="A50" s="7" t="s">
        <v>48</v>
      </c>
      <c r="B50" s="8">
        <v>46270</v>
      </c>
      <c r="C50" s="7" t="s">
        <v>15</v>
      </c>
      <c r="D50" s="7" t="s">
        <v>8</v>
      </c>
      <c r="E50" s="7">
        <v>100</v>
      </c>
      <c r="F50" s="9">
        <v>91900</v>
      </c>
      <c r="G50" s="20" t="str">
        <f>IF(COUNTIF(Bank_Records!A:A,A50)=0,"MISSING IN BANK","OK")</f>
        <v>OK</v>
      </c>
    </row>
    <row r="51" spans="1:7" x14ac:dyDescent="0.3">
      <c r="A51" s="7" t="s">
        <v>56</v>
      </c>
      <c r="B51" s="8">
        <v>46272</v>
      </c>
      <c r="C51" s="7" t="s">
        <v>15</v>
      </c>
      <c r="D51" s="7" t="s">
        <v>8</v>
      </c>
      <c r="E51" s="7">
        <v>150</v>
      </c>
      <c r="F51" s="9">
        <v>414000</v>
      </c>
      <c r="G51" s="20" t="str">
        <f>IF(COUNTIF(Bank_Records!A:A,A51)=0,"MISSING IN BANK","OK")</f>
        <v>OK</v>
      </c>
    </row>
    <row r="52" spans="1:7" x14ac:dyDescent="0.3">
      <c r="A52" s="7" t="s">
        <v>81</v>
      </c>
      <c r="B52" s="8">
        <v>46272</v>
      </c>
      <c r="C52" s="7" t="s">
        <v>47</v>
      </c>
      <c r="D52" s="7" t="s">
        <v>8</v>
      </c>
      <c r="E52" s="7">
        <v>100</v>
      </c>
      <c r="F52" s="9">
        <v>55700</v>
      </c>
      <c r="G52" s="20" t="str">
        <f>IF(COUNTIF(Bank_Records!A:A,A52)=0,"MISSING IN BANK","OK")</f>
        <v>MISSING IN BANK</v>
      </c>
    </row>
    <row r="53" spans="1:7" x14ac:dyDescent="0.3">
      <c r="A53" s="7" t="s">
        <v>40</v>
      </c>
      <c r="B53" s="8">
        <v>46275</v>
      </c>
      <c r="C53" s="7" t="s">
        <v>32</v>
      </c>
      <c r="D53" s="7" t="s">
        <v>13</v>
      </c>
      <c r="E53" s="7">
        <v>200</v>
      </c>
      <c r="F53" s="9">
        <v>607600</v>
      </c>
      <c r="G53" s="20" t="str">
        <f>IF(COUNTIF(Bank_Records!A:A,A53)=0,"MISSING IN BANK","OK")</f>
        <v>OK</v>
      </c>
    </row>
    <row r="54" spans="1:7" x14ac:dyDescent="0.3">
      <c r="A54" s="7" t="s">
        <v>59</v>
      </c>
      <c r="B54" s="8">
        <v>46285</v>
      </c>
      <c r="C54" s="7" t="s">
        <v>27</v>
      </c>
      <c r="D54" s="7" t="s">
        <v>13</v>
      </c>
      <c r="E54" s="7">
        <v>100</v>
      </c>
      <c r="F54" s="9">
        <v>289800</v>
      </c>
      <c r="G54" s="20" t="str">
        <f>IF(COUNTIF(Bank_Records!A:A,A54)=0,"MISSING IN BANK","OK")</f>
        <v>OK</v>
      </c>
    </row>
    <row r="55" spans="1:7" x14ac:dyDescent="0.3">
      <c r="A55" s="7" t="s">
        <v>71</v>
      </c>
      <c r="B55" s="8">
        <v>46285</v>
      </c>
      <c r="C55" s="7" t="s">
        <v>47</v>
      </c>
      <c r="D55" s="7" t="s">
        <v>13</v>
      </c>
      <c r="E55" s="7">
        <v>200</v>
      </c>
      <c r="F55" s="9">
        <v>652200</v>
      </c>
      <c r="G55" s="20" t="str">
        <f>IF(COUNTIF(Bank_Records!A:A,A55)=0,"MISSING IN BANK","OK")</f>
        <v>OK</v>
      </c>
    </row>
    <row r="56" spans="1:7" x14ac:dyDescent="0.3">
      <c r="A56" s="7" t="s">
        <v>34</v>
      </c>
      <c r="B56" s="8">
        <v>46270</v>
      </c>
      <c r="C56" s="7" t="s">
        <v>35</v>
      </c>
      <c r="D56" s="7" t="s">
        <v>8</v>
      </c>
      <c r="E56" s="7">
        <v>200</v>
      </c>
      <c r="F56" s="9">
        <v>92000</v>
      </c>
      <c r="G56" s="20" t="str">
        <f>IF(COUNTIF(Bank_Records!A:A,A56)=0,"MISSING IN BANK","OK")</f>
        <v>OK</v>
      </c>
    </row>
    <row r="57" spans="1:7" x14ac:dyDescent="0.3">
      <c r="A57" s="7" t="s">
        <v>54</v>
      </c>
      <c r="B57" s="8">
        <v>46278</v>
      </c>
      <c r="C57" s="7" t="s">
        <v>27</v>
      </c>
      <c r="D57" s="7" t="s">
        <v>13</v>
      </c>
      <c r="E57" s="7">
        <v>50</v>
      </c>
      <c r="F57" s="9">
        <v>113600</v>
      </c>
      <c r="G57" s="20" t="str">
        <f>IF(COUNTIF(Bank_Records!A:A,A57)=0,"MISSING IN BANK","OK")</f>
        <v>OK</v>
      </c>
    </row>
    <row r="58" spans="1:7" x14ac:dyDescent="0.3">
      <c r="A58" s="7" t="s">
        <v>38</v>
      </c>
      <c r="B58" s="8">
        <v>46268</v>
      </c>
      <c r="C58" s="7" t="s">
        <v>29</v>
      </c>
      <c r="D58" s="7" t="s">
        <v>8</v>
      </c>
      <c r="E58" s="7">
        <v>200</v>
      </c>
      <c r="F58" s="9">
        <v>631000</v>
      </c>
      <c r="G58" s="20" t="str">
        <f>IF(COUNTIF(Bank_Records!A:A,A58)=0,"MISSING IN BANK","OK")</f>
        <v>OK</v>
      </c>
    </row>
    <row r="59" spans="1:7" x14ac:dyDescent="0.3">
      <c r="A59" s="7" t="s">
        <v>31</v>
      </c>
      <c r="B59" s="8">
        <v>46276</v>
      </c>
      <c r="C59" s="7" t="s">
        <v>32</v>
      </c>
      <c r="D59" s="7" t="s">
        <v>8</v>
      </c>
      <c r="E59" s="7">
        <v>200</v>
      </c>
      <c r="F59" s="9">
        <v>295800</v>
      </c>
      <c r="G59" s="20" t="str">
        <f>IF(COUNTIF(Bank_Records!A:A,A59)=0,"MISSING IN BANK","OK")</f>
        <v>OK</v>
      </c>
    </row>
    <row r="60" spans="1:7" x14ac:dyDescent="0.3">
      <c r="A60" s="7" t="s">
        <v>36</v>
      </c>
      <c r="B60" s="8">
        <v>46283</v>
      </c>
      <c r="C60" s="7" t="s">
        <v>17</v>
      </c>
      <c r="D60" s="7" t="s">
        <v>13</v>
      </c>
      <c r="E60" s="7">
        <v>150</v>
      </c>
      <c r="F60" s="9">
        <v>252750</v>
      </c>
      <c r="G60" s="20" t="str">
        <f>IF(COUNTIF(Bank_Records!A:A,A60)=0,"MISSING IN BANK","OK")</f>
        <v>OK</v>
      </c>
    </row>
    <row r="61" spans="1:7" x14ac:dyDescent="0.3">
      <c r="G61" s="1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Reconciliation</vt:lpstr>
      <vt:lpstr>Bank_Records</vt:lpstr>
      <vt:lpstr>Custodian_Records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Vinayak Nalwar</cp:lastModifiedBy>
  <dcterms:created xsi:type="dcterms:W3CDTF">2026-10-27T15:08:42Z</dcterms:created>
  <dcterms:modified xsi:type="dcterms:W3CDTF">2026-10-28T13:58:59Z</dcterms:modified>
</cp:coreProperties>
</file>